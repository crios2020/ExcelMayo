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Excel\"/>
    </mc:Choice>
  </mc:AlternateContent>
  <xr:revisionPtr revIDLastSave="0" documentId="13_ncr:1_{B8949CBF-7AFE-493D-A366-339C6FE907D3}" xr6:coauthVersionLast="47" xr6:coauthVersionMax="47" xr10:uidLastSave="{00000000-0000-0000-0000-000000000000}"/>
  <bookViews>
    <workbookView xWindow="-120" yWindow="-120" windowWidth="21240" windowHeight="15390" activeTab="4" xr2:uid="{085DF86C-3DC8-4259-AECC-ACF0249C1C1D}"/>
  </bookViews>
  <sheets>
    <sheet name="Formulas" sheetId="1" r:id="rId1"/>
    <sheet name="Series" sheetId="2" r:id="rId2"/>
    <sheet name="Serie Numericas" sheetId="3" r:id="rId3"/>
    <sheet name="Laboratorio 1" sheetId="4" r:id="rId4"/>
    <sheet name="Laboratorio 2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33" i="5" l="1"/>
  <c r="C34" i="5"/>
  <c r="C35" i="5"/>
  <c r="C36" i="5"/>
  <c r="C32" i="5"/>
  <c r="E33" i="5"/>
  <c r="E34" i="5"/>
  <c r="E35" i="5"/>
  <c r="E36" i="5"/>
  <c r="E32" i="5"/>
  <c r="F36" i="5"/>
  <c r="F35" i="5"/>
  <c r="F34" i="5"/>
  <c r="F33" i="5"/>
  <c r="F32" i="5"/>
  <c r="E22" i="5"/>
  <c r="E23" i="5"/>
  <c r="E24" i="5"/>
  <c r="E25" i="5"/>
  <c r="E26" i="5"/>
  <c r="D26" i="5"/>
  <c r="D25" i="5"/>
  <c r="D24" i="5"/>
  <c r="D23" i="5"/>
  <c r="D22" i="5"/>
  <c r="E13" i="5"/>
  <c r="E14" i="5"/>
  <c r="E15" i="5"/>
  <c r="E16" i="5"/>
  <c r="E12" i="5"/>
  <c r="F5" i="5"/>
  <c r="F4" i="5"/>
  <c r="F3" i="5"/>
  <c r="E3" i="5"/>
  <c r="D16" i="5"/>
  <c r="D15" i="5"/>
  <c r="D14" i="5"/>
  <c r="D13" i="5"/>
  <c r="D12" i="5"/>
  <c r="F6" i="5"/>
  <c r="F7" i="5"/>
  <c r="E4" i="5"/>
  <c r="E5" i="5"/>
  <c r="E6" i="5"/>
  <c r="E7" i="5"/>
  <c r="D3" i="5"/>
  <c r="D4" i="5"/>
  <c r="D5" i="5"/>
  <c r="D6" i="5"/>
  <c r="D7" i="5"/>
  <c r="G3" i="4"/>
  <c r="G4" i="4"/>
  <c r="G5" i="4"/>
  <c r="G2" i="4"/>
  <c r="F3" i="4"/>
  <c r="F4" i="4"/>
  <c r="F5" i="4"/>
  <c r="F2" i="4"/>
  <c r="E3" i="4"/>
  <c r="E4" i="4"/>
  <c r="E5" i="4"/>
  <c r="E2" i="4"/>
  <c r="A17" i="1"/>
  <c r="A16" i="1"/>
  <c r="A14" i="1"/>
  <c r="A13" i="1"/>
  <c r="A9" i="1"/>
  <c r="A7" i="1"/>
  <c r="D4" i="1"/>
  <c r="D3" i="1"/>
  <c r="D2" i="1"/>
  <c r="D1" i="1"/>
  <c r="H12" i="5" l="1"/>
  <c r="H13" i="5"/>
  <c r="H14" i="5"/>
  <c r="H15" i="5"/>
  <c r="H16" i="5"/>
  <c r="A12" i="1"/>
  <c r="F13" i="1"/>
  <c r="F12" i="1"/>
  <c r="F11" i="1"/>
  <c r="F9" i="1"/>
  <c r="F10" i="1" s="1"/>
</calcChain>
</file>

<file path=xl/sharedStrings.xml><?xml version="1.0" encoding="utf-8"?>
<sst xmlns="http://schemas.openxmlformats.org/spreadsheetml/2006/main" count="305" uniqueCount="145">
  <si>
    <t xml:space="preserve"> =A1+B1</t>
  </si>
  <si>
    <t xml:space="preserve"> =A4-B3</t>
  </si>
  <si>
    <t xml:space="preserve"> =B3*A1</t>
  </si>
  <si>
    <t xml:space="preserve"> =B1/B3</t>
  </si>
  <si>
    <t xml:space="preserve"> =suma(A1:B5)</t>
  </si>
  <si>
    <t xml:space="preserve"> =sum(A1:B5)</t>
  </si>
  <si>
    <t>Hola, Buenos días!!!</t>
  </si>
  <si>
    <t xml:space="preserve"> =A9/10</t>
  </si>
  <si>
    <t xml:space="preserve"> =SUMA(A1:B5)/10</t>
  </si>
  <si>
    <t xml:space="preserve"> =PROMEDIO(A1:B5)</t>
  </si>
  <si>
    <t xml:space="preserve"> =MAX(A1:B5)</t>
  </si>
  <si>
    <t xml:space="preserve"> =MIN(A1:B5)</t>
  </si>
  <si>
    <t>IVA 21%:</t>
  </si>
  <si>
    <t>Total + IVA:</t>
  </si>
  <si>
    <t xml:space="preserve"> =A9*21%</t>
  </si>
  <si>
    <t xml:space="preserve"> =A9+F9</t>
  </si>
  <si>
    <t xml:space="preserve"> =A9+A9*21%</t>
  </si>
  <si>
    <t xml:space="preserve"> =A9*(1+21%)</t>
  </si>
  <si>
    <t xml:space="preserve"> =A9*121%</t>
  </si>
  <si>
    <t>Excel</t>
  </si>
  <si>
    <t>Lunes</t>
  </si>
  <si>
    <t>Martes</t>
  </si>
  <si>
    <t>Miércoles</t>
  </si>
  <si>
    <t>Jueves</t>
  </si>
  <si>
    <t>Viernes</t>
  </si>
  <si>
    <t>Sábado</t>
  </si>
  <si>
    <t>Domingo</t>
  </si>
  <si>
    <t>Lun</t>
  </si>
  <si>
    <t>Mar.</t>
  </si>
  <si>
    <t>Mié.</t>
  </si>
  <si>
    <t>Jue.</t>
  </si>
  <si>
    <t>Vie.</t>
  </si>
  <si>
    <t>Sáb.</t>
  </si>
  <si>
    <t>Dom.</t>
  </si>
  <si>
    <t>Lun.</t>
  </si>
  <si>
    <t>Lu</t>
  </si>
  <si>
    <t>Monday</t>
  </si>
  <si>
    <t>Tuesday</t>
  </si>
  <si>
    <t>Wednesday</t>
  </si>
  <si>
    <t>Thursday</t>
  </si>
  <si>
    <t>Friday</t>
  </si>
  <si>
    <t>Saturday</t>
  </si>
  <si>
    <t>Sunday</t>
  </si>
  <si>
    <t>Mon</t>
  </si>
  <si>
    <t>Tue</t>
  </si>
  <si>
    <t>Wed</t>
  </si>
  <si>
    <t>Thu</t>
  </si>
  <si>
    <t>Fri</t>
  </si>
  <si>
    <t>Sat</t>
  </si>
  <si>
    <t>Sun</t>
  </si>
  <si>
    <t>Mo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</si>
  <si>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</si>
  <si>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</si>
  <si>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</si>
  <si>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</si>
  <si>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</si>
  <si>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</si>
  <si>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</si>
  <si>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</si>
  <si>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</si>
  <si>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</si>
  <si>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</si>
  <si>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</si>
  <si>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</si>
  <si>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</si>
  <si>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</si>
  <si>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</si>
  <si>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</si>
  <si>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</si>
  <si>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</si>
  <si>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</si>
  <si>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</si>
  <si>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</si>
  <si>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</si>
  <si>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</si>
  <si>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En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</si>
  <si>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</si>
  <si>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</si>
  <si>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</si>
  <si>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</si>
  <si>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</si>
  <si>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</si>
  <si>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</si>
  <si>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</si>
  <si>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</si>
  <si>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</si>
  <si>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</si>
  <si>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Jan</t>
  </si>
  <si>
    <t>Apr</t>
  </si>
  <si>
    <t>Aug</t>
  </si>
  <si>
    <t>Dec</t>
  </si>
  <si>
    <t>Ja</t>
  </si>
  <si>
    <t>lu</t>
  </si>
  <si>
    <t>ma</t>
  </si>
  <si>
    <t>mi</t>
  </si>
  <si>
    <t>ju</t>
  </si>
  <si>
    <t>vi</t>
  </si>
  <si>
    <t>sa</t>
  </si>
  <si>
    <t>do</t>
  </si>
  <si>
    <t>Mercurio</t>
  </si>
  <si>
    <t>Saturno</t>
  </si>
  <si>
    <t>Venus</t>
  </si>
  <si>
    <t>Jupiter</t>
  </si>
  <si>
    <t>Netpuno</t>
  </si>
  <si>
    <t>Matemáticas</t>
  </si>
  <si>
    <t>Historia</t>
  </si>
  <si>
    <t>Castellano</t>
  </si>
  <si>
    <t>Andrea</t>
  </si>
  <si>
    <t>Gloria</t>
  </si>
  <si>
    <t>Promedio de notas</t>
  </si>
  <si>
    <t>José</t>
  </si>
  <si>
    <t>Nota Mínima</t>
  </si>
  <si>
    <t>Nota Máxima</t>
  </si>
  <si>
    <t>Matías</t>
  </si>
  <si>
    <t>Columna1</t>
  </si>
  <si>
    <t>Articulo</t>
  </si>
  <si>
    <t>a1</t>
  </si>
  <si>
    <t>a2</t>
  </si>
  <si>
    <t>a3</t>
  </si>
  <si>
    <t>a4</t>
  </si>
  <si>
    <t>a5</t>
  </si>
  <si>
    <t>Precio Unitario</t>
  </si>
  <si>
    <t>Cantidad</t>
  </si>
  <si>
    <t>Subtotal</t>
  </si>
  <si>
    <t>IVA</t>
  </si>
  <si>
    <t>Total</t>
  </si>
  <si>
    <t xml:space="preserve"> =D12*E10</t>
  </si>
  <si>
    <t xml:space="preserve"> =D13*E11</t>
  </si>
  <si>
    <t xml:space="preserve"> =D14*E12</t>
  </si>
  <si>
    <t xml:space="preserve"> =D15*E13</t>
  </si>
  <si>
    <t xml:space="preserve"> =D16*E14</t>
  </si>
  <si>
    <t>Referencias Relativas</t>
  </si>
  <si>
    <t>Referencias Absolitas</t>
  </si>
  <si>
    <t>Referencias Relaticas</t>
  </si>
  <si>
    <t>Referencias Absolutas</t>
  </si>
  <si>
    <t xml:space="preserve"> =D12*$E$10</t>
  </si>
  <si>
    <t xml:space="preserve"> =D13*$E$10</t>
  </si>
  <si>
    <t xml:space="preserve"> =D14*$E$10</t>
  </si>
  <si>
    <t xml:space="preserve"> =D15*$E$10</t>
  </si>
  <si>
    <t xml:space="preserve"> =D16*$E$10</t>
  </si>
  <si>
    <t>Total con IVA</t>
  </si>
  <si>
    <t>U$S</t>
  </si>
  <si>
    <t>Precio Unitario USD</t>
  </si>
  <si>
    <t>Precio Unitario ARG$</t>
  </si>
  <si>
    <t>Tema Pendiente Referencias Mixtas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</si>
</sst>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4">
    <xf numFmtId="0" fontId="0" fillId="0" borderId="0" xfId="0"/>
    <xf numFmtId="44" fontId="0" fillId="0" borderId="0" xfId="1" applyFont="1"/>
    <xf numFmtId="44" fontId="0" fillId="0" borderId="0" xfId="0" applyNumberFormat="1"/>
    <xf numFmtId="0" fontId="0" fillId="0" borderId="1" xfId="0" applyBorder="1"/>
    <xf numFmtId="2" fontId="0" fillId="0" borderId="1" xfId="0" applyNumberFormat="1" applyBorder="1"/>
    <xf numFmtId="0" fontId="0" fillId="0" borderId="2" xfId="0" applyBorder="1"/>
    <xf numFmtId="2" fontId="0" fillId="0" borderId="2" xfId="0" applyNumberForma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2" fontId="0" fillId="0" borderId="15" xfId="0" applyNumberFormat="1" applyBorder="1"/>
    <xf numFmtId="0" fontId="0" fillId="0" borderId="16" xfId="0" applyBorder="1"/>
    <xf numFmtId="0" fontId="0" fillId="0" borderId="0" xfId="0" applyAlignment="1">
      <alignment horizontal="center" vertical="center" wrapText="1"/>
    </xf>
    <xf numFmtId="9" fontId="0" fillId="0" borderId="0" xfId="0" applyNumberFormat="1"/>
  </cellXfs>
  <cellStyles count="2">
    <cellStyle name="Moneda" xfId="1" builtinId="4"/>
    <cellStyle name="Normal" xfId="0" builtinId="0"/>
  </cellStyles>
  <dxfs count="10"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4C2495-752D-4C44-BDAA-95A22265F0BA}" name="Tabla1" displayName="Tabla1" ref="A1:G5" totalsRowShown="0" headerRowDxfId="0" headerRowBorderDxfId="8" tableBorderDxfId="9">
  <autoFilter ref="A1:G5" xr:uid="{DE4C2495-752D-4C44-BDAA-95A22265F0BA}"/>
  <tableColumns count="7">
    <tableColumn id="1" xr3:uid="{79E6AB00-05A8-4B39-A97D-FA0B56478A7C}" name="Columna1" dataDxfId="7"/>
    <tableColumn id="2" xr3:uid="{4FD62FAA-018A-40DC-B12F-519A7EFFCAAC}" name="Matemáticas" dataDxfId="6"/>
    <tableColumn id="3" xr3:uid="{ACD00303-46B5-44A8-8F93-3EB98E142572}" name="Historia" dataDxfId="5"/>
    <tableColumn id="4" xr3:uid="{CE78468D-4587-4970-BBD1-68D0B3705BBF}" name="Castellano" dataDxfId="4"/>
    <tableColumn id="5" xr3:uid="{105E01AF-FB47-45D6-B1F3-E205591D07DC}" name="Promedio de notas" dataDxfId="3">
      <calculatedColumnFormula>AVERAGE(B2:D2)</calculatedColumnFormula>
    </tableColumn>
    <tableColumn id="6" xr3:uid="{7B9F0C27-1B8A-40A2-8EEE-21CD91499F11}" name="Nota Mínima" dataDxfId="2">
      <calculatedColumnFormula>MIN(B2:D2)</calculatedColumnFormula>
    </tableColumn>
    <tableColumn id="7" xr3:uid="{D31852DE-45CE-435B-A3A7-829640A0F314}" name="Nota Máxima" dataDxfId="1">
      <calculatedColumnFormula>MAX(B2:D2)</calculatedColumnFormula>
    </tableColumn>
  </tableColumns>
  <tableStyleInfo name="TableStyleLight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447DE-66B5-45DF-8438-3DCE99265181}">
  <sheetPr>
    <tabColor theme="4" tint="0.39997558519241921"/>
  </sheetPr>
  <dimension ref="A1:H17"/>
  <sheetViews>
    <sheetView zoomScale="140" zoomScaleNormal="140" workbookViewId="0">
      <selection activeCell="A9" sqref="A9"/>
    </sheetView>
  </sheetViews>
  <sheetFormatPr baseColWidth="10" defaultRowHeight="15" x14ac:dyDescent="0.25"/>
  <cols>
    <col min="1" max="2" width="11.85546875" bestFit="1" customWidth="1"/>
  </cols>
  <sheetData>
    <row r="1" spans="1:8" x14ac:dyDescent="0.25">
      <c r="A1" s="1">
        <v>23</v>
      </c>
      <c r="B1" s="1">
        <v>65</v>
      </c>
      <c r="D1">
        <f>A1+B1</f>
        <v>88</v>
      </c>
      <c r="E1" t="s">
        <v>0</v>
      </c>
      <c r="H1" t="s">
        <v>6</v>
      </c>
    </row>
    <row r="2" spans="1:8" x14ac:dyDescent="0.25">
      <c r="A2" s="1">
        <v>26</v>
      </c>
      <c r="B2" s="1">
        <v>24</v>
      </c>
      <c r="D2">
        <f>A4-B3</f>
        <v>14</v>
      </c>
      <c r="E2" t="s">
        <v>1</v>
      </c>
    </row>
    <row r="3" spans="1:8" x14ac:dyDescent="0.25">
      <c r="A3" s="1">
        <v>29</v>
      </c>
      <c r="B3" s="1">
        <v>24</v>
      </c>
      <c r="D3">
        <f>B3*A1</f>
        <v>552</v>
      </c>
      <c r="E3" t="s">
        <v>2</v>
      </c>
    </row>
    <row r="4" spans="1:8" x14ac:dyDescent="0.25">
      <c r="A4" s="1">
        <v>38</v>
      </c>
      <c r="B4" s="1">
        <v>14</v>
      </c>
      <c r="D4">
        <f>B1/B3</f>
        <v>2.7083333333333335</v>
      </c>
      <c r="E4" t="s">
        <v>3</v>
      </c>
    </row>
    <row r="5" spans="1:8" x14ac:dyDescent="0.25">
      <c r="A5" s="1">
        <v>39</v>
      </c>
      <c r="B5" s="1">
        <v>67</v>
      </c>
    </row>
    <row r="7" spans="1:8" x14ac:dyDescent="0.25">
      <c r="A7">
        <f>A1+A2+A3+A4+A5+B1+B2+B3+B4+B5</f>
        <v>349</v>
      </c>
    </row>
    <row r="9" spans="1:8" x14ac:dyDescent="0.25">
      <c r="A9" s="1">
        <f>SUM(A1:B5)</f>
        <v>349</v>
      </c>
      <c r="B9" t="s">
        <v>4</v>
      </c>
      <c r="E9" t="s">
        <v>12</v>
      </c>
      <c r="F9" s="2">
        <f>A9*21%</f>
        <v>73.289999999999992</v>
      </c>
      <c r="G9" t="s">
        <v>14</v>
      </c>
    </row>
    <row r="10" spans="1:8" x14ac:dyDescent="0.25">
      <c r="B10" t="s">
        <v>5</v>
      </c>
      <c r="E10" t="s">
        <v>13</v>
      </c>
      <c r="F10" s="2">
        <f>A9+F9</f>
        <v>422.28999999999996</v>
      </c>
      <c r="G10" t="s">
        <v>15</v>
      </c>
    </row>
    <row r="11" spans="1:8" x14ac:dyDescent="0.25">
      <c r="E11" t="s">
        <v>13</v>
      </c>
      <c r="F11" s="2">
        <f>A9+A9*21%</f>
        <v>422.28999999999996</v>
      </c>
      <c r="G11" t="s">
        <v>16</v>
      </c>
    </row>
    <row r="12" spans="1:8" x14ac:dyDescent="0.25">
      <c r="A12">
        <f>A9/10</f>
        <v>34.9</v>
      </c>
      <c r="B12" t="s">
        <v>7</v>
      </c>
      <c r="E12" t="s">
        <v>13</v>
      </c>
      <c r="F12" s="2">
        <f>A9*(1+21%)</f>
        <v>422.28999999999996</v>
      </c>
      <c r="G12" t="s">
        <v>17</v>
      </c>
    </row>
    <row r="13" spans="1:8" x14ac:dyDescent="0.25">
      <c r="A13">
        <f>SUM(A1:B5)/10</f>
        <v>34.9</v>
      </c>
      <c r="B13" t="s">
        <v>8</v>
      </c>
      <c r="E13" t="s">
        <v>13</v>
      </c>
      <c r="F13" s="2">
        <f>A9*121%</f>
        <v>422.28999999999996</v>
      </c>
      <c r="G13" t="s">
        <v>18</v>
      </c>
    </row>
    <row r="14" spans="1:8" x14ac:dyDescent="0.25">
      <c r="A14">
        <f>AVERAGE(A1:B5)</f>
        <v>34.9</v>
      </c>
      <c r="B14" t="s">
        <v>9</v>
      </c>
    </row>
    <row r="16" spans="1:8" x14ac:dyDescent="0.25">
      <c r="A16">
        <f>MAX(A1:B5)</f>
        <v>67</v>
      </c>
      <c r="B16" t="s">
        <v>10</v>
      </c>
    </row>
    <row r="17" spans="1:2" x14ac:dyDescent="0.25">
      <c r="A17">
        <f>MIN(A1:B5)</f>
        <v>14</v>
      </c>
      <c r="B17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67FBB-EB4C-4C35-88F1-323CF80BE920}">
  <sheetPr>
    <tabColor theme="4" tint="0.39997558519241921"/>
  </sheetPr>
  <dimension ref="A1:L35"/>
  <sheetViews>
    <sheetView topLeftCell="A13" zoomScale="140" zoomScaleNormal="140" workbookViewId="0">
      <selection activeCell="D25" sqref="D25:D34"/>
    </sheetView>
  </sheetViews>
  <sheetFormatPr baseColWidth="10" defaultRowHeight="15" x14ac:dyDescent="0.25"/>
  <sheetData>
    <row r="1" spans="1:12" x14ac:dyDescent="0.25">
      <c r="A1" t="s">
        <v>19</v>
      </c>
      <c r="B1" t="s">
        <v>19</v>
      </c>
      <c r="C1" t="s">
        <v>19</v>
      </c>
      <c r="D1" t="s">
        <v>19</v>
      </c>
    </row>
    <row r="2" spans="1:12" x14ac:dyDescent="0.25">
      <c r="A2" t="s">
        <v>19</v>
      </c>
      <c r="B2" t="s">
        <v>19</v>
      </c>
      <c r="C2" t="s">
        <v>19</v>
      </c>
      <c r="D2" t="s">
        <v>19</v>
      </c>
    </row>
    <row r="3" spans="1:12" x14ac:dyDescent="0.25">
      <c r="A3" t="s">
        <v>19</v>
      </c>
      <c r="B3" t="s">
        <v>19</v>
      </c>
      <c r="C3" t="s">
        <v>19</v>
      </c>
      <c r="D3" t="s">
        <v>19</v>
      </c>
    </row>
    <row r="4" spans="1:12" x14ac:dyDescent="0.25">
      <c r="A4" t="s">
        <v>19</v>
      </c>
      <c r="B4" t="s">
        <v>19</v>
      </c>
      <c r="C4" t="s">
        <v>19</v>
      </c>
      <c r="D4" t="s">
        <v>19</v>
      </c>
    </row>
    <row r="5" spans="1:12" x14ac:dyDescent="0.25">
      <c r="A5" t="s">
        <v>19</v>
      </c>
      <c r="B5" t="s">
        <v>19</v>
      </c>
      <c r="C5" t="s">
        <v>19</v>
      </c>
      <c r="D5" t="s">
        <v>19</v>
      </c>
    </row>
    <row r="6" spans="1:12" x14ac:dyDescent="0.25">
      <c r="A6" t="s">
        <v>19</v>
      </c>
      <c r="B6" t="s">
        <v>19</v>
      </c>
      <c r="C6" t="s">
        <v>19</v>
      </c>
      <c r="D6" t="s">
        <v>19</v>
      </c>
    </row>
    <row r="10" spans="1:12" x14ac:dyDescent="0.25">
      <c r="A10" t="s">
        <v>20</v>
      </c>
      <c r="B10" t="s">
        <v>27</v>
      </c>
      <c r="C10" t="s">
        <v>35</v>
      </c>
      <c r="D10" t="s">
        <v>36</v>
      </c>
      <c r="E10" t="s">
        <v>43</v>
      </c>
      <c r="F10" t="s">
        <v>50</v>
      </c>
      <c r="G10" t="s">
        <v>51</v>
      </c>
      <c r="H10" t="s">
        <v>63</v>
      </c>
      <c r="I10" t="s">
        <v>75</v>
      </c>
      <c r="J10" t="s">
        <v>76</v>
      </c>
      <c r="K10" t="s">
        <v>87</v>
      </c>
      <c r="L10" t="s">
        <v>91</v>
      </c>
    </row>
    <row r="11" spans="1:12" x14ac:dyDescent="0.25">
      <c r="A11" t="s">
        <v>21</v>
      </c>
      <c r="B11" t="s">
        <v>28</v>
      </c>
      <c r="C11" t="s">
        <v>35</v>
      </c>
      <c r="D11" t="s">
        <v>37</v>
      </c>
      <c r="E11" t="s">
        <v>44</v>
      </c>
      <c r="F11" t="s">
        <v>50</v>
      </c>
      <c r="G11" t="s">
        <v>52</v>
      </c>
      <c r="H11" t="s">
        <v>64</v>
      </c>
      <c r="I11" t="s">
        <v>75</v>
      </c>
      <c r="J11" t="s">
        <v>77</v>
      </c>
      <c r="K11" t="s">
        <v>64</v>
      </c>
      <c r="L11" t="s">
        <v>91</v>
      </c>
    </row>
    <row r="12" spans="1:12" x14ac:dyDescent="0.25">
      <c r="A12" t="s">
        <v>22</v>
      </c>
      <c r="B12" t="s">
        <v>29</v>
      </c>
      <c r="C12" t="s">
        <v>35</v>
      </c>
      <c r="D12" t="s">
        <v>38</v>
      </c>
      <c r="E12" t="s">
        <v>45</v>
      </c>
      <c r="F12" t="s">
        <v>50</v>
      </c>
      <c r="G12" t="s">
        <v>53</v>
      </c>
      <c r="H12" t="s">
        <v>65</v>
      </c>
      <c r="I12" t="s">
        <v>75</v>
      </c>
      <c r="J12" t="s">
        <v>78</v>
      </c>
      <c r="K12" t="s">
        <v>65</v>
      </c>
      <c r="L12" t="s">
        <v>91</v>
      </c>
    </row>
    <row r="13" spans="1:12" x14ac:dyDescent="0.25">
      <c r="A13" t="s">
        <v>23</v>
      </c>
      <c r="B13" t="s">
        <v>30</v>
      </c>
      <c r="C13" t="s">
        <v>35</v>
      </c>
      <c r="D13" t="s">
        <v>39</v>
      </c>
      <c r="E13" t="s">
        <v>46</v>
      </c>
      <c r="F13" t="s">
        <v>50</v>
      </c>
      <c r="G13" t="s">
        <v>54</v>
      </c>
      <c r="H13" t="s">
        <v>66</v>
      </c>
      <c r="I13" t="s">
        <v>75</v>
      </c>
      <c r="J13" t="s">
        <v>79</v>
      </c>
      <c r="K13" t="s">
        <v>88</v>
      </c>
      <c r="L13" t="s">
        <v>91</v>
      </c>
    </row>
    <row r="14" spans="1:12" x14ac:dyDescent="0.25">
      <c r="A14" t="s">
        <v>24</v>
      </c>
      <c r="B14" t="s">
        <v>31</v>
      </c>
      <c r="C14" t="s">
        <v>35</v>
      </c>
      <c r="D14" t="s">
        <v>40</v>
      </c>
      <c r="E14" t="s">
        <v>47</v>
      </c>
      <c r="F14" t="s">
        <v>50</v>
      </c>
      <c r="G14" t="s">
        <v>55</v>
      </c>
      <c r="H14" t="s">
        <v>67</v>
      </c>
      <c r="I14" t="s">
        <v>75</v>
      </c>
      <c r="J14" t="s">
        <v>67</v>
      </c>
      <c r="K14" t="s">
        <v>67</v>
      </c>
      <c r="L14" t="s">
        <v>91</v>
      </c>
    </row>
    <row r="15" spans="1:12" x14ac:dyDescent="0.25">
      <c r="A15" t="s">
        <v>25</v>
      </c>
      <c r="B15" t="s">
        <v>32</v>
      </c>
      <c r="C15" t="s">
        <v>35</v>
      </c>
      <c r="D15" t="s">
        <v>41</v>
      </c>
      <c r="E15" t="s">
        <v>48</v>
      </c>
      <c r="F15" t="s">
        <v>50</v>
      </c>
      <c r="G15" t="s">
        <v>56</v>
      </c>
      <c r="H15" t="s">
        <v>68</v>
      </c>
      <c r="I15" t="s">
        <v>75</v>
      </c>
      <c r="J15" t="s">
        <v>80</v>
      </c>
      <c r="K15" t="s">
        <v>68</v>
      </c>
      <c r="L15" t="s">
        <v>91</v>
      </c>
    </row>
    <row r="16" spans="1:12" x14ac:dyDescent="0.25">
      <c r="A16" t="s">
        <v>26</v>
      </c>
      <c r="B16" t="s">
        <v>33</v>
      </c>
      <c r="C16" t="s">
        <v>35</v>
      </c>
      <c r="D16" t="s">
        <v>42</v>
      </c>
      <c r="E16" t="s">
        <v>49</v>
      </c>
      <c r="F16" t="s">
        <v>50</v>
      </c>
      <c r="G16" t="s">
        <v>57</v>
      </c>
      <c r="H16" t="s">
        <v>69</v>
      </c>
      <c r="I16" t="s">
        <v>75</v>
      </c>
      <c r="J16" t="s">
        <v>81</v>
      </c>
      <c r="K16" t="s">
        <v>69</v>
      </c>
      <c r="L16" t="s">
        <v>91</v>
      </c>
    </row>
    <row r="17" spans="1:12" x14ac:dyDescent="0.25">
      <c r="A17" t="s">
        <v>20</v>
      </c>
      <c r="B17" t="s">
        <v>34</v>
      </c>
      <c r="C17" t="s">
        <v>35</v>
      </c>
      <c r="D17" t="s">
        <v>36</v>
      </c>
      <c r="E17" t="s">
        <v>43</v>
      </c>
      <c r="F17" t="s">
        <v>50</v>
      </c>
      <c r="G17" t="s">
        <v>58</v>
      </c>
      <c r="H17" t="s">
        <v>70</v>
      </c>
      <c r="I17" t="s">
        <v>75</v>
      </c>
      <c r="J17" t="s">
        <v>82</v>
      </c>
      <c r="K17" t="s">
        <v>89</v>
      </c>
      <c r="L17" t="s">
        <v>91</v>
      </c>
    </row>
    <row r="18" spans="1:12" x14ac:dyDescent="0.25">
      <c r="A18" t="s">
        <v>21</v>
      </c>
      <c r="B18" t="s">
        <v>28</v>
      </c>
      <c r="C18" t="s">
        <v>35</v>
      </c>
      <c r="D18" t="s">
        <v>37</v>
      </c>
      <c r="E18" t="s">
        <v>44</v>
      </c>
      <c r="F18" t="s">
        <v>50</v>
      </c>
      <c r="G18" t="s">
        <v>59</v>
      </c>
      <c r="H18" t="s">
        <v>71</v>
      </c>
      <c r="I18" t="s">
        <v>75</v>
      </c>
      <c r="J18" t="s">
        <v>83</v>
      </c>
      <c r="K18" t="s">
        <v>71</v>
      </c>
      <c r="L18" t="s">
        <v>91</v>
      </c>
    </row>
    <row r="19" spans="1:12" x14ac:dyDescent="0.25">
      <c r="A19" t="s">
        <v>22</v>
      </c>
      <c r="B19" t="s">
        <v>29</v>
      </c>
      <c r="C19" t="s">
        <v>35</v>
      </c>
      <c r="D19" t="s">
        <v>38</v>
      </c>
      <c r="E19" t="s">
        <v>45</v>
      </c>
      <c r="F19" t="s">
        <v>50</v>
      </c>
      <c r="G19" t="s">
        <v>60</v>
      </c>
      <c r="H19" t="s">
        <v>72</v>
      </c>
      <c r="I19" t="s">
        <v>75</v>
      </c>
      <c r="J19" t="s">
        <v>84</v>
      </c>
      <c r="K19" t="s">
        <v>72</v>
      </c>
      <c r="L19" t="s">
        <v>91</v>
      </c>
    </row>
    <row r="20" spans="1:12" x14ac:dyDescent="0.25">
      <c r="A20" t="s">
        <v>23</v>
      </c>
      <c r="B20" t="s">
        <v>30</v>
      </c>
      <c r="C20" t="s">
        <v>35</v>
      </c>
      <c r="D20" t="s">
        <v>39</v>
      </c>
      <c r="E20" t="s">
        <v>46</v>
      </c>
      <c r="F20" t="s">
        <v>50</v>
      </c>
      <c r="G20" t="s">
        <v>61</v>
      </c>
      <c r="H20" t="s">
        <v>73</v>
      </c>
      <c r="I20" t="s">
        <v>75</v>
      </c>
      <c r="J20" t="s">
        <v>85</v>
      </c>
      <c r="K20" t="s">
        <v>73</v>
      </c>
      <c r="L20" t="s">
        <v>91</v>
      </c>
    </row>
    <row r="21" spans="1:12" x14ac:dyDescent="0.25">
      <c r="A21" t="s">
        <v>24</v>
      </c>
      <c r="B21" t="s">
        <v>31</v>
      </c>
      <c r="C21" t="s">
        <v>35</v>
      </c>
      <c r="D21" t="s">
        <v>40</v>
      </c>
      <c r="E21" t="s">
        <v>47</v>
      </c>
      <c r="F21" t="s">
        <v>50</v>
      </c>
      <c r="G21" t="s">
        <v>62</v>
      </c>
      <c r="H21" t="s">
        <v>74</v>
      </c>
      <c r="I21" t="s">
        <v>75</v>
      </c>
      <c r="J21" t="s">
        <v>86</v>
      </c>
      <c r="K21" t="s">
        <v>90</v>
      </c>
      <c r="L21" t="s">
        <v>91</v>
      </c>
    </row>
    <row r="22" spans="1:12" x14ac:dyDescent="0.25">
      <c r="A22" t="s">
        <v>25</v>
      </c>
      <c r="B22" t="s">
        <v>32</v>
      </c>
      <c r="C22" t="s">
        <v>35</v>
      </c>
      <c r="D22" t="s">
        <v>41</v>
      </c>
      <c r="E22" t="s">
        <v>48</v>
      </c>
      <c r="F22" t="s">
        <v>50</v>
      </c>
      <c r="G22" t="s">
        <v>51</v>
      </c>
      <c r="H22" t="s">
        <v>63</v>
      </c>
      <c r="I22" t="s">
        <v>75</v>
      </c>
      <c r="J22" t="s">
        <v>76</v>
      </c>
      <c r="K22" t="s">
        <v>87</v>
      </c>
      <c r="L22" t="s">
        <v>91</v>
      </c>
    </row>
    <row r="23" spans="1:12" x14ac:dyDescent="0.25">
      <c r="A23" t="s">
        <v>26</v>
      </c>
      <c r="B23" t="s">
        <v>33</v>
      </c>
      <c r="C23" t="s">
        <v>35</v>
      </c>
      <c r="D23" t="s">
        <v>42</v>
      </c>
      <c r="E23" t="s">
        <v>49</v>
      </c>
      <c r="F23" t="s">
        <v>50</v>
      </c>
      <c r="G23" t="s">
        <v>52</v>
      </c>
      <c r="H23" t="s">
        <v>64</v>
      </c>
      <c r="I23" t="s">
        <v>75</v>
      </c>
      <c r="J23" t="s">
        <v>77</v>
      </c>
      <c r="K23" t="s">
        <v>64</v>
      </c>
      <c r="L23" t="s">
        <v>91</v>
      </c>
    </row>
    <row r="25" spans="1:12" x14ac:dyDescent="0.25">
      <c r="C25" t="s">
        <v>92</v>
      </c>
      <c r="D25" t="s">
        <v>99</v>
      </c>
    </row>
    <row r="26" spans="1:12" x14ac:dyDescent="0.25">
      <c r="C26" t="s">
        <v>93</v>
      </c>
      <c r="D26" t="s">
        <v>100</v>
      </c>
    </row>
    <row r="27" spans="1:12" x14ac:dyDescent="0.25">
      <c r="C27" t="s">
        <v>94</v>
      </c>
      <c r="D27" t="s">
        <v>101</v>
      </c>
    </row>
    <row r="28" spans="1:12" x14ac:dyDescent="0.25">
      <c r="C28" t="s">
        <v>95</v>
      </c>
      <c r="D28" t="s">
        <v>102</v>
      </c>
    </row>
    <row r="29" spans="1:12" x14ac:dyDescent="0.25">
      <c r="C29" t="s">
        <v>96</v>
      </c>
      <c r="D29" t="s">
        <v>103</v>
      </c>
    </row>
    <row r="30" spans="1:12" x14ac:dyDescent="0.25">
      <c r="C30" t="s">
        <v>97</v>
      </c>
      <c r="D30" t="s">
        <v>99</v>
      </c>
    </row>
    <row r="31" spans="1:12" x14ac:dyDescent="0.25">
      <c r="C31" t="s">
        <v>98</v>
      </c>
      <c r="D31" t="s">
        <v>100</v>
      </c>
    </row>
    <row r="32" spans="1:12" x14ac:dyDescent="0.25">
      <c r="C32" t="s">
        <v>92</v>
      </c>
      <c r="D32" t="s">
        <v>101</v>
      </c>
    </row>
    <row r="33" spans="3:4" x14ac:dyDescent="0.25">
      <c r="C33" t="s">
        <v>93</v>
      </c>
      <c r="D33" t="s">
        <v>102</v>
      </c>
    </row>
    <row r="34" spans="3:4" x14ac:dyDescent="0.25">
      <c r="C34" t="s">
        <v>94</v>
      </c>
      <c r="D34" t="s">
        <v>103</v>
      </c>
    </row>
    <row r="35" spans="3:4" x14ac:dyDescent="0.25">
      <c r="C35" t="s">
        <v>95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C12C4-D7B3-4FBD-967F-9869752C10B9}">
  <sheetPr>
    <tabColor theme="4" tint="0.39997558519241921"/>
  </sheetPr>
  <dimension ref="A1:D14"/>
  <sheetViews>
    <sheetView zoomScale="130" zoomScaleNormal="130" workbookViewId="0">
      <selection activeCell="B17" sqref="B17"/>
    </sheetView>
  </sheetViews>
  <sheetFormatPr baseColWidth="10" defaultRowHeight="15" x14ac:dyDescent="0.25"/>
  <sheetData>
    <row r="1" spans="1:4" x14ac:dyDescent="0.25">
      <c r="A1">
        <v>1</v>
      </c>
      <c r="B1">
        <v>1</v>
      </c>
      <c r="C1">
        <v>100</v>
      </c>
      <c r="D1">
        <v>100</v>
      </c>
    </row>
    <row r="2" spans="1:4" x14ac:dyDescent="0.25">
      <c r="A2">
        <v>2</v>
      </c>
      <c r="B2">
        <v>2</v>
      </c>
      <c r="C2">
        <v>103</v>
      </c>
      <c r="D2">
        <v>97</v>
      </c>
    </row>
    <row r="3" spans="1:4" x14ac:dyDescent="0.25">
      <c r="A3">
        <v>3</v>
      </c>
      <c r="B3">
        <v>3</v>
      </c>
      <c r="C3">
        <v>106</v>
      </c>
      <c r="D3">
        <v>94</v>
      </c>
    </row>
    <row r="4" spans="1:4" x14ac:dyDescent="0.25">
      <c r="A4">
        <v>4</v>
      </c>
      <c r="B4">
        <v>4</v>
      </c>
      <c r="C4">
        <v>109</v>
      </c>
      <c r="D4">
        <v>91</v>
      </c>
    </row>
    <row r="5" spans="1:4" x14ac:dyDescent="0.25">
      <c r="A5">
        <v>5</v>
      </c>
      <c r="B5">
        <v>5</v>
      </c>
      <c r="C5">
        <v>112</v>
      </c>
      <c r="D5">
        <v>88</v>
      </c>
    </row>
    <row r="6" spans="1:4" x14ac:dyDescent="0.25">
      <c r="A6">
        <v>6</v>
      </c>
      <c r="B6">
        <v>6</v>
      </c>
      <c r="C6">
        <v>115</v>
      </c>
      <c r="D6">
        <v>85</v>
      </c>
    </row>
    <row r="7" spans="1:4" x14ac:dyDescent="0.25">
      <c r="A7">
        <v>7</v>
      </c>
      <c r="B7">
        <v>7</v>
      </c>
      <c r="C7">
        <v>118</v>
      </c>
      <c r="D7">
        <v>82</v>
      </c>
    </row>
    <row r="8" spans="1:4" x14ac:dyDescent="0.25">
      <c r="A8">
        <v>8</v>
      </c>
      <c r="B8">
        <v>8</v>
      </c>
      <c r="C8">
        <v>121</v>
      </c>
      <c r="D8">
        <v>79</v>
      </c>
    </row>
    <row r="9" spans="1:4" x14ac:dyDescent="0.25">
      <c r="A9">
        <v>9</v>
      </c>
      <c r="B9">
        <v>9</v>
      </c>
      <c r="C9">
        <v>124</v>
      </c>
      <c r="D9">
        <v>76</v>
      </c>
    </row>
    <row r="10" spans="1:4" x14ac:dyDescent="0.25">
      <c r="A10">
        <v>10</v>
      </c>
      <c r="B10">
        <v>10</v>
      </c>
      <c r="C10">
        <v>127</v>
      </c>
      <c r="D10">
        <v>73</v>
      </c>
    </row>
    <row r="11" spans="1:4" x14ac:dyDescent="0.25">
      <c r="A11">
        <v>11</v>
      </c>
      <c r="B11">
        <v>11</v>
      </c>
      <c r="C11">
        <v>130</v>
      </c>
      <c r="D11">
        <v>70</v>
      </c>
    </row>
    <row r="12" spans="1:4" x14ac:dyDescent="0.25">
      <c r="A12">
        <v>12</v>
      </c>
      <c r="B12">
        <v>12</v>
      </c>
      <c r="C12">
        <v>133</v>
      </c>
      <c r="D12">
        <v>67</v>
      </c>
    </row>
    <row r="13" spans="1:4" x14ac:dyDescent="0.25">
      <c r="A13">
        <v>13</v>
      </c>
      <c r="B13">
        <v>13</v>
      </c>
      <c r="C13">
        <v>136</v>
      </c>
      <c r="D13">
        <v>64</v>
      </c>
    </row>
    <row r="14" spans="1:4" x14ac:dyDescent="0.25">
      <c r="A14">
        <v>14</v>
      </c>
      <c r="B14">
        <v>14</v>
      </c>
      <c r="C14">
        <v>139</v>
      </c>
      <c r="D14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D747C-9CEE-404E-A169-40003639738D}">
  <sheetPr>
    <tabColor theme="7"/>
  </sheetPr>
  <dimension ref="A1:G5"/>
  <sheetViews>
    <sheetView zoomScale="130" zoomScaleNormal="130" workbookViewId="0">
      <selection activeCell="E8" sqref="E8"/>
    </sheetView>
  </sheetViews>
  <sheetFormatPr baseColWidth="10" defaultRowHeight="15" x14ac:dyDescent="0.25"/>
  <cols>
    <col min="2" max="2" width="14.7109375" bestFit="1" customWidth="1"/>
    <col min="5" max="5" width="18.28515625" customWidth="1"/>
    <col min="6" max="6" width="13.28515625" customWidth="1"/>
    <col min="7" max="7" width="13.5703125" customWidth="1"/>
  </cols>
  <sheetData>
    <row r="1" spans="1:7" ht="15.75" thickBot="1" x14ac:dyDescent="0.3">
      <c r="A1" s="13" t="s">
        <v>114</v>
      </c>
      <c r="B1" s="14" t="s">
        <v>104</v>
      </c>
      <c r="C1" s="15" t="s">
        <v>105</v>
      </c>
      <c r="D1" s="15" t="s">
        <v>106</v>
      </c>
      <c r="E1" s="15" t="s">
        <v>109</v>
      </c>
      <c r="F1" s="15" t="s">
        <v>111</v>
      </c>
      <c r="G1" s="16" t="s">
        <v>112</v>
      </c>
    </row>
    <row r="2" spans="1:7" x14ac:dyDescent="0.25">
      <c r="A2" s="9" t="s">
        <v>107</v>
      </c>
      <c r="B2" s="7">
        <v>5</v>
      </c>
      <c r="C2" s="5">
        <v>10</v>
      </c>
      <c r="D2" s="5">
        <v>9</v>
      </c>
      <c r="E2" s="6">
        <f>AVERAGE(B2:D2)</f>
        <v>8</v>
      </c>
      <c r="F2" s="5">
        <f>MIN(B2:D2)</f>
        <v>5</v>
      </c>
      <c r="G2" s="11">
        <f>MAX(B2:D2)</f>
        <v>10</v>
      </c>
    </row>
    <row r="3" spans="1:7" x14ac:dyDescent="0.25">
      <c r="A3" s="10" t="s">
        <v>108</v>
      </c>
      <c r="B3" s="8">
        <v>6</v>
      </c>
      <c r="C3" s="3">
        <v>8</v>
      </c>
      <c r="D3" s="3">
        <v>9</v>
      </c>
      <c r="E3" s="4">
        <f t="shared" ref="E3:E5" si="0">AVERAGE(B3:D3)</f>
        <v>7.666666666666667</v>
      </c>
      <c r="F3" s="3">
        <f t="shared" ref="F3:F5" si="1">MIN(B3:D3)</f>
        <v>6</v>
      </c>
      <c r="G3" s="12">
        <f t="shared" ref="G3:G5" si="2">MAX(B3:D3)</f>
        <v>9</v>
      </c>
    </row>
    <row r="4" spans="1:7" x14ac:dyDescent="0.25">
      <c r="A4" s="10" t="s">
        <v>113</v>
      </c>
      <c r="B4" s="8">
        <v>7</v>
      </c>
      <c r="C4" s="3">
        <v>8</v>
      </c>
      <c r="D4" s="3">
        <v>9</v>
      </c>
      <c r="E4" s="4">
        <f t="shared" si="0"/>
        <v>8</v>
      </c>
      <c r="F4" s="3">
        <f t="shared" si="1"/>
        <v>7</v>
      </c>
      <c r="G4" s="12">
        <f t="shared" si="2"/>
        <v>9</v>
      </c>
    </row>
    <row r="5" spans="1:7" x14ac:dyDescent="0.25">
      <c r="A5" s="17" t="s">
        <v>110</v>
      </c>
      <c r="B5" s="18">
        <v>6</v>
      </c>
      <c r="C5" s="19">
        <v>7</v>
      </c>
      <c r="D5" s="19">
        <v>9</v>
      </c>
      <c r="E5" s="20">
        <f t="shared" si="0"/>
        <v>7.333333333333333</v>
      </c>
      <c r="F5" s="19">
        <f t="shared" si="1"/>
        <v>6</v>
      </c>
      <c r="G5" s="21">
        <f t="shared" si="2"/>
        <v>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51013-4212-47A5-B97C-7198DBD229DB}">
  <sheetPr>
    <tabColor theme="7"/>
  </sheetPr>
  <dimension ref="A1:J38"/>
  <sheetViews>
    <sheetView tabSelected="1" topLeftCell="A19" zoomScale="130" zoomScaleNormal="130" workbookViewId="0">
      <selection activeCell="A39" sqref="A39"/>
    </sheetView>
  </sheetViews>
  <sheetFormatPr baseColWidth="10" defaultRowHeight="15" x14ac:dyDescent="0.25"/>
  <cols>
    <col min="1" max="1" width="8" bestFit="1" customWidth="1"/>
    <col min="2" max="2" width="9.85546875" customWidth="1"/>
    <col min="3" max="3" width="12.7109375" bestFit="1" customWidth="1"/>
    <col min="5" max="5" width="17.7109375" bestFit="1" customWidth="1"/>
    <col min="6" max="6" width="15.42578125" bestFit="1" customWidth="1"/>
    <col min="7" max="7" width="12.5703125" customWidth="1"/>
  </cols>
  <sheetData>
    <row r="1" spans="1:10" x14ac:dyDescent="0.25">
      <c r="E1" s="23">
        <v>0.21</v>
      </c>
    </row>
    <row r="2" spans="1:10" s="22" customFormat="1" ht="29.25" customHeight="1" x14ac:dyDescent="0.25">
      <c r="A2" s="22" t="s">
        <v>115</v>
      </c>
      <c r="B2" s="22" t="s">
        <v>121</v>
      </c>
      <c r="C2" s="22" t="s">
        <v>122</v>
      </c>
      <c r="D2" s="22" t="s">
        <v>123</v>
      </c>
      <c r="E2" s="22" t="s">
        <v>124</v>
      </c>
      <c r="F2" s="22" t="s">
        <v>125</v>
      </c>
    </row>
    <row r="3" spans="1:10" x14ac:dyDescent="0.25">
      <c r="A3" t="s">
        <v>116</v>
      </c>
      <c r="B3" s="1">
        <v>25</v>
      </c>
      <c r="C3">
        <v>45</v>
      </c>
      <c r="D3" s="2">
        <f>B3*C3</f>
        <v>1125</v>
      </c>
      <c r="E3" s="2">
        <f>D3*21%</f>
        <v>236.25</v>
      </c>
      <c r="F3" s="2">
        <f>D3+E3</f>
        <v>1361.25</v>
      </c>
    </row>
    <row r="4" spans="1:10" x14ac:dyDescent="0.25">
      <c r="A4" t="s">
        <v>117</v>
      </c>
      <c r="B4" s="1">
        <v>68</v>
      </c>
      <c r="C4">
        <v>68</v>
      </c>
      <c r="D4" s="2">
        <f t="shared" ref="D4:D7" si="0">B4*C4</f>
        <v>4624</v>
      </c>
      <c r="E4" s="2">
        <f t="shared" ref="E4:E7" si="1">D4*21%</f>
        <v>971.04</v>
      </c>
      <c r="F4" s="2">
        <f>D4+E4</f>
        <v>5595.04</v>
      </c>
    </row>
    <row r="5" spans="1:10" x14ac:dyDescent="0.25">
      <c r="A5" t="s">
        <v>118</v>
      </c>
      <c r="B5" s="1">
        <v>15</v>
      </c>
      <c r="C5">
        <v>50</v>
      </c>
      <c r="D5" s="2">
        <f t="shared" si="0"/>
        <v>750</v>
      </c>
      <c r="E5" s="2">
        <f t="shared" si="1"/>
        <v>157.5</v>
      </c>
      <c r="F5" s="2">
        <f>D5+E5</f>
        <v>907.5</v>
      </c>
    </row>
    <row r="6" spans="1:10" x14ac:dyDescent="0.25">
      <c r="A6" t="s">
        <v>119</v>
      </c>
      <c r="B6" s="1">
        <v>26</v>
      </c>
      <c r="C6">
        <v>46</v>
      </c>
      <c r="D6" s="2">
        <f t="shared" si="0"/>
        <v>1196</v>
      </c>
      <c r="E6" s="2">
        <f t="shared" si="1"/>
        <v>251.16</v>
      </c>
      <c r="F6" s="2">
        <f t="shared" ref="F4:F7" si="2">D6+E6</f>
        <v>1447.16</v>
      </c>
    </row>
    <row r="7" spans="1:10" x14ac:dyDescent="0.25">
      <c r="A7" t="s">
        <v>120</v>
      </c>
      <c r="B7" s="1">
        <v>29</v>
      </c>
      <c r="C7">
        <v>100</v>
      </c>
      <c r="D7" s="2">
        <f t="shared" si="0"/>
        <v>2900</v>
      </c>
      <c r="E7" s="2">
        <f t="shared" si="1"/>
        <v>609</v>
      </c>
      <c r="F7" s="2">
        <f t="shared" si="2"/>
        <v>3509</v>
      </c>
    </row>
    <row r="10" spans="1:10" x14ac:dyDescent="0.25">
      <c r="E10" s="23">
        <v>0.21</v>
      </c>
    </row>
    <row r="11" spans="1:10" ht="30" x14ac:dyDescent="0.25">
      <c r="A11" s="22" t="s">
        <v>115</v>
      </c>
      <c r="B11" s="22" t="s">
        <v>121</v>
      </c>
      <c r="C11" s="22" t="s">
        <v>122</v>
      </c>
      <c r="D11" s="22" t="s">
        <v>123</v>
      </c>
      <c r="E11" s="22" t="s">
        <v>124</v>
      </c>
      <c r="F11" s="22" t="s">
        <v>133</v>
      </c>
      <c r="G11" s="22" t="s">
        <v>134</v>
      </c>
      <c r="H11" s="22" t="s">
        <v>125</v>
      </c>
    </row>
    <row r="12" spans="1:10" x14ac:dyDescent="0.25">
      <c r="A12" t="s">
        <v>116</v>
      </c>
      <c r="B12" s="1">
        <v>25</v>
      </c>
      <c r="C12">
        <v>45</v>
      </c>
      <c r="D12" s="2">
        <f>B12*C12</f>
        <v>1125</v>
      </c>
      <c r="E12" s="2">
        <f>D12*$E$10</f>
        <v>236.25</v>
      </c>
      <c r="F12" t="s">
        <v>126</v>
      </c>
      <c r="G12" t="s">
        <v>135</v>
      </c>
      <c r="H12" s="2">
        <f>D12+E12</f>
        <v>1361.25</v>
      </c>
      <c r="J12" t="s">
        <v>131</v>
      </c>
    </row>
    <row r="13" spans="1:10" x14ac:dyDescent="0.25">
      <c r="A13" t="s">
        <v>117</v>
      </c>
      <c r="B13" s="1">
        <v>68</v>
      </c>
      <c r="C13">
        <v>68</v>
      </c>
      <c r="D13" s="2">
        <f t="shared" ref="D13:D16" si="3">B13*C13</f>
        <v>4624</v>
      </c>
      <c r="E13" s="2">
        <f t="shared" ref="E13:E16" si="4">D13*$E$10</f>
        <v>971.04</v>
      </c>
      <c r="F13" t="s">
        <v>127</v>
      </c>
      <c r="G13" t="s">
        <v>136</v>
      </c>
      <c r="H13" s="2">
        <f>D13+E13</f>
        <v>5595.04</v>
      </c>
      <c r="J13" t="s">
        <v>132</v>
      </c>
    </row>
    <row r="14" spans="1:10" x14ac:dyDescent="0.25">
      <c r="A14" t="s">
        <v>118</v>
      </c>
      <c r="B14" s="1">
        <v>15</v>
      </c>
      <c r="C14">
        <v>50</v>
      </c>
      <c r="D14" s="2">
        <f t="shared" si="3"/>
        <v>750</v>
      </c>
      <c r="E14" s="2">
        <f t="shared" si="4"/>
        <v>157.5</v>
      </c>
      <c r="F14" t="s">
        <v>128</v>
      </c>
      <c r="G14" t="s">
        <v>137</v>
      </c>
      <c r="H14" s="2">
        <f>D14+E14</f>
        <v>907.5</v>
      </c>
    </row>
    <row r="15" spans="1:10" x14ac:dyDescent="0.25">
      <c r="A15" t="s">
        <v>119</v>
      </c>
      <c r="B15" s="1">
        <v>26</v>
      </c>
      <c r="C15">
        <v>46</v>
      </c>
      <c r="D15" s="2">
        <f t="shared" si="3"/>
        <v>1196</v>
      </c>
      <c r="E15" s="2">
        <f t="shared" si="4"/>
        <v>251.16</v>
      </c>
      <c r="F15" t="s">
        <v>129</v>
      </c>
      <c r="G15" t="s">
        <v>138</v>
      </c>
      <c r="H15" s="2">
        <f>D15+E15</f>
        <v>1447.16</v>
      </c>
    </row>
    <row r="16" spans="1:10" x14ac:dyDescent="0.25">
      <c r="A16" t="s">
        <v>120</v>
      </c>
      <c r="B16" s="1">
        <v>29</v>
      </c>
      <c r="C16">
        <v>100</v>
      </c>
      <c r="D16" s="2">
        <f t="shared" si="3"/>
        <v>2900</v>
      </c>
      <c r="E16" s="2">
        <f t="shared" si="4"/>
        <v>609</v>
      </c>
      <c r="F16" t="s">
        <v>130</v>
      </c>
      <c r="G16" t="s">
        <v>139</v>
      </c>
      <c r="H16" s="2">
        <f>D16+E16</f>
        <v>3509</v>
      </c>
    </row>
    <row r="20" spans="1:6" x14ac:dyDescent="0.25">
      <c r="E20" s="23">
        <v>0.21</v>
      </c>
    </row>
    <row r="21" spans="1:6" ht="30" x14ac:dyDescent="0.25">
      <c r="A21" s="22" t="s">
        <v>115</v>
      </c>
      <c r="B21" s="22" t="s">
        <v>121</v>
      </c>
      <c r="C21" s="22" t="s">
        <v>122</v>
      </c>
      <c r="D21" s="22" t="s">
        <v>123</v>
      </c>
      <c r="E21" s="22" t="s">
        <v>140</v>
      </c>
    </row>
    <row r="22" spans="1:6" x14ac:dyDescent="0.25">
      <c r="A22" t="s">
        <v>116</v>
      </c>
      <c r="B22" s="1">
        <v>25</v>
      </c>
      <c r="C22">
        <v>45</v>
      </c>
      <c r="D22" s="2">
        <f>B22*C22</f>
        <v>1125</v>
      </c>
      <c r="E22" s="2">
        <f>D22+$E$20*D22</f>
        <v>1361.25</v>
      </c>
    </row>
    <row r="23" spans="1:6" x14ac:dyDescent="0.25">
      <c r="A23" t="s">
        <v>117</v>
      </c>
      <c r="B23" s="1">
        <v>68</v>
      </c>
      <c r="C23">
        <v>68</v>
      </c>
      <c r="D23" s="2">
        <f t="shared" ref="D23:D26" si="5">B23*C23</f>
        <v>4624</v>
      </c>
      <c r="E23" s="2">
        <f t="shared" ref="E23:E26" si="6">D23+$E$20*D23</f>
        <v>5595.04</v>
      </c>
    </row>
    <row r="24" spans="1:6" x14ac:dyDescent="0.25">
      <c r="A24" t="s">
        <v>118</v>
      </c>
      <c r="B24" s="1">
        <v>15</v>
      </c>
      <c r="C24">
        <v>50</v>
      </c>
      <c r="D24" s="2">
        <f t="shared" si="5"/>
        <v>750</v>
      </c>
      <c r="E24" s="2">
        <f t="shared" si="6"/>
        <v>907.5</v>
      </c>
    </row>
    <row r="25" spans="1:6" x14ac:dyDescent="0.25">
      <c r="A25" t="s">
        <v>119</v>
      </c>
      <c r="B25" s="1">
        <v>26</v>
      </c>
      <c r="C25">
        <v>46</v>
      </c>
      <c r="D25" s="2">
        <f t="shared" si="5"/>
        <v>1196</v>
      </c>
      <c r="E25" s="2">
        <f t="shared" si="6"/>
        <v>1447.16</v>
      </c>
    </row>
    <row r="26" spans="1:6" x14ac:dyDescent="0.25">
      <c r="A26" t="s">
        <v>120</v>
      </c>
      <c r="B26" s="1">
        <v>29</v>
      </c>
      <c r="C26">
        <v>100</v>
      </c>
      <c r="D26" s="2">
        <f t="shared" si="5"/>
        <v>2900</v>
      </c>
      <c r="E26" s="2">
        <f t="shared" si="6"/>
        <v>3509</v>
      </c>
    </row>
    <row r="30" spans="1:6" x14ac:dyDescent="0.25">
      <c r="B30" t="s">
        <v>141</v>
      </c>
      <c r="C30">
        <v>212</v>
      </c>
      <c r="F30" s="23">
        <v>0.21</v>
      </c>
    </row>
    <row r="31" spans="1:6" ht="45" x14ac:dyDescent="0.25">
      <c r="A31" s="22" t="s">
        <v>115</v>
      </c>
      <c r="B31" s="22" t="s">
        <v>142</v>
      </c>
      <c r="C31" s="22" t="s">
        <v>143</v>
      </c>
      <c r="D31" s="22" t="s">
        <v>122</v>
      </c>
      <c r="E31" s="22" t="s">
        <v>123</v>
      </c>
      <c r="F31" s="22" t="s">
        <v>140</v>
      </c>
    </row>
    <row r="32" spans="1:6" x14ac:dyDescent="0.25">
      <c r="A32" t="s">
        <v>116</v>
      </c>
      <c r="B32" s="1">
        <v>25</v>
      </c>
      <c r="C32" s="2">
        <f>B32*$C$30</f>
        <v>5300</v>
      </c>
      <c r="D32">
        <v>45</v>
      </c>
      <c r="E32" s="2">
        <f>C32*D32</f>
        <v>238500</v>
      </c>
      <c r="F32" s="2">
        <f>E32+$E$20*E32</f>
        <v>288585</v>
      </c>
    </row>
    <row r="33" spans="1:6" x14ac:dyDescent="0.25">
      <c r="A33" t="s">
        <v>117</v>
      </c>
      <c r="B33" s="1">
        <v>68</v>
      </c>
      <c r="C33" s="2">
        <f t="shared" ref="C33:C36" si="7">B33*$C$30</f>
        <v>14416</v>
      </c>
      <c r="D33">
        <v>68</v>
      </c>
      <c r="E33" s="2">
        <f t="shared" ref="E33:E36" si="8">C33*D33</f>
        <v>980288</v>
      </c>
      <c r="F33" s="2">
        <f t="shared" ref="F33:F36" si="9">E33+$E$20*E33</f>
        <v>1186148.48</v>
      </c>
    </row>
    <row r="34" spans="1:6" x14ac:dyDescent="0.25">
      <c r="A34" t="s">
        <v>118</v>
      </c>
      <c r="B34" s="1">
        <v>15</v>
      </c>
      <c r="C34" s="2">
        <f t="shared" si="7"/>
        <v>3180</v>
      </c>
      <c r="D34">
        <v>50</v>
      </c>
      <c r="E34" s="2">
        <f t="shared" si="8"/>
        <v>159000</v>
      </c>
      <c r="F34" s="2">
        <f t="shared" si="9"/>
        <v>192390</v>
      </c>
    </row>
    <row r="35" spans="1:6" x14ac:dyDescent="0.25">
      <c r="A35" t="s">
        <v>119</v>
      </c>
      <c r="B35" s="1">
        <v>26</v>
      </c>
      <c r="C35" s="2">
        <f t="shared" si="7"/>
        <v>5512</v>
      </c>
      <c r="D35">
        <v>46</v>
      </c>
      <c r="E35" s="2">
        <f t="shared" si="8"/>
        <v>253552</v>
      </c>
      <c r="F35" s="2">
        <f t="shared" si="9"/>
        <v>306797.92</v>
      </c>
    </row>
    <row r="36" spans="1:6" x14ac:dyDescent="0.25">
      <c r="A36" t="s">
        <v>120</v>
      </c>
      <c r="B36" s="1">
        <v>29</v>
      </c>
      <c r="C36" s="2">
        <f t="shared" si="7"/>
        <v>6148</v>
      </c>
      <c r="D36">
        <v>100</v>
      </c>
      <c r="E36" s="2">
        <f t="shared" si="8"/>
        <v>614800</v>
      </c>
      <c r="F36" s="2">
        <f t="shared" si="9"/>
        <v>743908</v>
      </c>
    </row>
    <row r="38" spans="1:6" x14ac:dyDescent="0.25">
      <c r="A38" t="s">
        <v>144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Formulas</vt:lpstr>
      <vt:lpstr>Series</vt:lpstr>
      <vt:lpstr>Serie Numericas</vt:lpstr>
      <vt:lpstr>Laboratorio 1</vt:lpstr>
      <vt:lpstr>Laboratorio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Intercrios</dc:creator>
  <cp:lastModifiedBy>Carlos Intercrios</cp:lastModifiedBy>
  <dcterms:created xsi:type="dcterms:W3CDTF">2022-05-04T13:14:29Z</dcterms:created>
  <dcterms:modified xsi:type="dcterms:W3CDTF">2022-05-04T14:53:03Z</dcterms:modified>
</cp:coreProperties>
</file>
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73B779D6-E920-4F9B-933C-9183C19D6D58}" xr6:coauthVersionLast="47" xr6:coauthVersionMax="47" xr10:uidLastSave="{00000000-0000-0000-0000-000000000000}"/>
  <bookViews>
    <workbookView xWindow="-120" yWindow="-120" windowWidth="17520" windowHeight="12600" firstSheet="2" activeTab="3" xr2:uid="{34AB16B6-1FCD-4623-9141-8296904875E0}"/>
  </bookViews>
  <sheets>
    <sheet name="Lista de Servicios Pagados" sheetId="1" r:id="rId1"/>
    <sheet name="Estadistica de Servicios" sheetId="2" r:id="rId2"/>
    <sheet name="Liquidación de Sueldos" sheetId="3" r:id="rId3"/>
    <sheet name="Gestión de Proyecto" sheetId="4" r:id="rId4"/>
    <sheet name="Feriados" sheetId="5" r:id="rId5"/>
  </sheets>
  <externalReferences>
    <externalReference r:id="rId6"/>
  </externalReferences>
  <definedNames>
    <definedName name="agrandado">'[1]Fast Burguer'!$C:$C</definedName>
    <definedName name="combos">'[1]Fast Burguer'!$A:$A</definedName>
    <definedName name="feriados">Feriados!$A:$A</definedName>
    <definedName name="importe">'Lista de Servicios Pagados'!$D:$D</definedName>
    <definedName name="mes">'Lista de Servicios Pagados'!$C:$C</definedName>
    <definedName name="motivo">'Lista de Servicios Pagados'!$B:$B</definedName>
    <definedName name="semana">Feriados!$G$2:$H$8</definedName>
    <definedName name="sucursal">'Lista de Servicios Pagados'!$A:$A</definedName>
    <definedName name="total">'[1]Fast Burguer'!$D:$D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4" l="1"/>
  <c r="B14" i="4"/>
  <c r="B13" i="4"/>
  <c r="C17" i="5"/>
  <c r="C18" i="5"/>
  <c r="B7" i="4"/>
  <c r="C16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B6" i="4"/>
  <c r="B5" i="4"/>
  <c r="D20" i="2"/>
  <c r="C20" i="2"/>
  <c r="D10" i="2"/>
  <c r="D11" i="2"/>
  <c r="C10" i="2"/>
  <c r="C11" i="2"/>
  <c r="D27" i="2"/>
  <c r="D28" i="2"/>
  <c r="D29" i="2"/>
  <c r="D30" i="2"/>
  <c r="D31" i="2"/>
  <c r="D32" i="2"/>
  <c r="D33" i="2"/>
  <c r="D34" i="2"/>
  <c r="D35" i="2"/>
  <c r="D36" i="2"/>
  <c r="D37" i="2"/>
  <c r="D26" i="2"/>
  <c r="C27" i="2"/>
  <c r="C28" i="2"/>
  <c r="C29" i="2"/>
  <c r="C30" i="2"/>
  <c r="C31" i="2"/>
  <c r="C32" i="2"/>
  <c r="C33" i="2"/>
  <c r="C34" i="2"/>
  <c r="C35" i="2"/>
  <c r="C36" i="2"/>
  <c r="C37" i="2"/>
  <c r="C26" i="2"/>
  <c r="D17" i="2"/>
  <c r="D18" i="2"/>
  <c r="D19" i="2"/>
  <c r="D21" i="2"/>
  <c r="D16" i="2"/>
  <c r="C17" i="2"/>
  <c r="C18" i="2"/>
  <c r="C19" i="2"/>
  <c r="C21" i="2"/>
  <c r="C16" i="2"/>
  <c r="D7" i="2"/>
  <c r="D8" i="2"/>
  <c r="D9" i="2"/>
  <c r="D6" i="2"/>
  <c r="D12" i="2"/>
  <c r="C7" i="2"/>
  <c r="C8" i="2"/>
  <c r="C9" i="2"/>
  <c r="C6" i="2"/>
  <c r="B13" i="3"/>
  <c r="Q7" i="3"/>
  <c r="D7" i="3"/>
  <c r="G7" i="3" s="1"/>
  <c r="Q6" i="3"/>
  <c r="D6" i="3"/>
  <c r="G6" i="3" s="1"/>
  <c r="Q5" i="3"/>
  <c r="D5" i="3"/>
  <c r="G5" i="3" s="1"/>
  <c r="Q4" i="3"/>
  <c r="D4" i="3"/>
  <c r="G4" i="3" s="1"/>
  <c r="Q3" i="3"/>
  <c r="D3" i="3"/>
  <c r="G3" i="3" s="1"/>
  <c r="K1" i="3"/>
  <c r="E1" i="1"/>
  <c r="D38" i="2"/>
  <c r="I2" i="2" s="1"/>
  <c r="D22" i="2"/>
  <c r="H2" i="2" s="1"/>
  <c r="G2" i="2"/>
  <c r="L7" i="3" l="1"/>
  <c r="M7" i="3" s="1"/>
  <c r="L6" i="3"/>
  <c r="M6" i="3" s="1"/>
  <c r="L5" i="3"/>
  <c r="M5" i="3" s="1"/>
  <c r="L4" i="3"/>
  <c r="M4" i="3" s="1"/>
  <c r="L3" i="3"/>
  <c r="M3" i="3" s="1"/>
  <c r="P3" i="3"/>
  <c r="P4" i="3"/>
  <c r="P5" i="3"/>
  <c r="P6" i="3"/>
  <c r="P7" i="3"/>
  <c r="U7" i="3" l="1"/>
  <c r="T7" i="3"/>
  <c r="S7" i="3"/>
  <c r="V7" i="3" s="1"/>
  <c r="R7" i="3"/>
  <c r="W7" i="3" s="1"/>
  <c r="U6" i="3"/>
  <c r="T6" i="3"/>
  <c r="S6" i="3"/>
  <c r="V6" i="3" s="1"/>
  <c r="R6" i="3"/>
  <c r="W6" i="3" s="1"/>
  <c r="U5" i="3"/>
  <c r="T5" i="3"/>
  <c r="S5" i="3"/>
  <c r="V5" i="3" s="1"/>
  <c r="R5" i="3"/>
  <c r="W5" i="3" s="1"/>
  <c r="U4" i="3"/>
  <c r="T4" i="3"/>
  <c r="S4" i="3"/>
  <c r="V4" i="3" s="1"/>
  <c r="R4" i="3"/>
  <c r="W4" i="3" s="1"/>
  <c r="U3" i="3"/>
  <c r="T3" i="3"/>
  <c r="S3" i="3"/>
  <c r="V3" i="3" s="1"/>
  <c r="R3" i="3"/>
  <c r="W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Intercrios</author>
  </authors>
  <commentList>
    <comment ref="H2" authorId="0" shapeId="0" xr:uid="{49A02E71-066E-4427-B4C0-B8EB160FD093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I2" authorId="0" shapeId="0" xr:uid="{41129F39-7D77-4D99-9E5C-4D1FBAF9A9D3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no Remunerativa</t>
        </r>
      </text>
    </comment>
    <comment ref="J2" authorId="0" shapeId="0" xr:uid="{F01A2FE4-0CB9-464B-AFA7-130F88CD621C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</t>
        </r>
      </text>
    </comment>
    <comment ref="M2" authorId="0" shapeId="0" xr:uid="{4BAE8357-020F-42FF-AC40-EBCEECFB20E0}">
      <text>
        <r>
          <rPr>
            <b/>
            <sz val="9"/>
            <color indexed="81"/>
            <rFont val="Tahoma"/>
            <family val="2"/>
          </rPr>
          <t>Carlos Intercrios:</t>
        </r>
        <r>
          <rPr>
            <sz val="9"/>
            <color indexed="81"/>
            <rFont val="Tahoma"/>
            <family val="2"/>
          </rPr>
          <t xml:space="preserve">
Suma Remunerativa
</t>
        </r>
      </text>
    </comment>
  </commentList>
</comments>
</file>

<file path=xl/sharedStrings.xml><?xml version="1.0" encoding="utf-8"?>
<sst xmlns="http://schemas.openxmlformats.org/spreadsheetml/2006/main" count="211" uniqueCount="108">
  <si>
    <t>Sucursal</t>
  </si>
  <si>
    <t>Motivo</t>
  </si>
  <si>
    <t>Mes</t>
  </si>
  <si>
    <t>Importe</t>
  </si>
  <si>
    <t>S1</t>
  </si>
  <si>
    <t>Luz</t>
  </si>
  <si>
    <t>Enero</t>
  </si>
  <si>
    <t>Teléfono</t>
  </si>
  <si>
    <t>S2</t>
  </si>
  <si>
    <t>Gas</t>
  </si>
  <si>
    <t>S4</t>
  </si>
  <si>
    <t>S5</t>
  </si>
  <si>
    <t>Agua</t>
  </si>
  <si>
    <t>Febrero</t>
  </si>
  <si>
    <t>S3</t>
  </si>
  <si>
    <t>Marzo</t>
  </si>
  <si>
    <t>Cable</t>
  </si>
  <si>
    <t>Abril</t>
  </si>
  <si>
    <t>Sucursal 1</t>
  </si>
  <si>
    <t>Sucursal 2</t>
  </si>
  <si>
    <t>Sucursal 3</t>
  </si>
  <si>
    <t>Sucursal 4</t>
  </si>
  <si>
    <t>Sucursal 5</t>
  </si>
  <si>
    <t>Electricidad</t>
  </si>
  <si>
    <t>Telefonia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</si>
  <si>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</si>
  <si>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</si>
  <si>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</si>
  <si>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</si>
  <si>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</si>
  <si>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</si>
  <si>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</si>
  <si>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</si>
  <si>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Cantidad</t>
  </si>
  <si>
    <t>Total</t>
  </si>
  <si>
    <t>Total:</t>
  </si>
  <si>
    <t>Testing</t>
  </si>
  <si>
    <t>Legajo</t>
  </si>
  <si>
    <t>Nombre</t>
  </si>
  <si>
    <t>Sueldo Básico</t>
  </si>
  <si>
    <t>Valor Hora</t>
  </si>
  <si>
    <t>Horas Extras Simples</t>
  </si>
  <si>
    <t xml:space="preserve">Horas Extras Dobles </t>
  </si>
  <si>
    <t>Total $ Horas Extras</t>
  </si>
  <si>
    <t>Hijos</t>
  </si>
  <si>
    <t>Conyugue</t>
  </si>
  <si>
    <t>Presentismo</t>
  </si>
  <si>
    <t>Fecha Ingreso</t>
  </si>
  <si>
    <t>Antigüedad</t>
  </si>
  <si>
    <t>Plus x Antigüedad</t>
  </si>
  <si>
    <t>Suma Remunerativa</t>
  </si>
  <si>
    <t>Suma No Remunerativa</t>
  </si>
  <si>
    <t>Total Remunerativo</t>
  </si>
  <si>
    <t>Total No Remunerativo</t>
  </si>
  <si>
    <t>Sueldo Bruto</t>
  </si>
  <si>
    <t>Jubilación</t>
  </si>
  <si>
    <t>Obra Social</t>
  </si>
  <si>
    <t>Aporte Sindical</t>
  </si>
  <si>
    <t>Total Descuentos</t>
  </si>
  <si>
    <t>Sueldo Neto</t>
  </si>
  <si>
    <t>Juan Perez</t>
  </si>
  <si>
    <t>SI</t>
  </si>
  <si>
    <t>Liliana Estevez</t>
  </si>
  <si>
    <t>NO</t>
  </si>
  <si>
    <t>Jose Torres</t>
  </si>
  <si>
    <t>Debora Vargas</t>
  </si>
  <si>
    <t xml:space="preserve"> =ENTERO(DIAS360(J3;$J$1)/360)</t>
  </si>
  <si>
    <t xml:space="preserve"> =K3*$L$1*B3</t>
  </si>
  <si>
    <t>R=ENTERO(DIAS360(C1;A1)/360)</t>
  </si>
  <si>
    <t xml:space="preserve"> =B3+F3+M3+SI(I3="SI";$I$1;0)+L3</t>
  </si>
  <si>
    <t>Nombres incompletos:</t>
  </si>
  <si>
    <t>Jimena Ferrero</t>
  </si>
  <si>
    <t>S6</t>
  </si>
  <si>
    <t>Netflix</t>
  </si>
  <si>
    <t>Sucursal 6</t>
  </si>
  <si>
    <t>Gestión de proyecto</t>
  </si>
  <si>
    <t>Inicio de proyecto:</t>
  </si>
  <si>
    <t>Fin de proyecto:</t>
  </si>
  <si>
    <t>Cantidad días:</t>
  </si>
  <si>
    <t>Cantidad días sin Sáb y Dom:</t>
  </si>
  <si>
    <t>Guemes</t>
  </si>
  <si>
    <t>Bandera</t>
  </si>
  <si>
    <t>Independencia</t>
  </si>
  <si>
    <t>San Martin</t>
  </si>
  <si>
    <t>Turistico</t>
  </si>
  <si>
    <t>Diversidad</t>
  </si>
  <si>
    <t>Soberania</t>
  </si>
  <si>
    <t>Inmaculada</t>
  </si>
  <si>
    <t>Natividad</t>
  </si>
  <si>
    <t>Fin de Año</t>
  </si>
  <si>
    <t>Año nuevo</t>
  </si>
  <si>
    <t>Día Semana</t>
  </si>
  <si>
    <t>Orden</t>
  </si>
  <si>
    <t>Día</t>
  </si>
  <si>
    <t>Lunes</t>
  </si>
  <si>
    <t>Martes</t>
  </si>
  <si>
    <t>Miércoles</t>
  </si>
  <si>
    <t>Jueves</t>
  </si>
  <si>
    <t>Viernes</t>
  </si>
  <si>
    <t>Sábado</t>
  </si>
  <si>
    <t>Domingo</t>
  </si>
  <si>
    <t>Día del Gremio</t>
  </si>
  <si>
    <t>Cantidad días sin Sáb, Dom ni feriados:</t>
  </si>
  <si>
    <t>Carnavales</t>
  </si>
  <si>
    <t>Cantidad de días:</t>
  </si>
  <si>
    <t>Fecha Final:</t>
  </si>
  <si>
    <t>Fecha Final sin Sáb y Dom:</t>
  </si>
  <si>
    <t>Fecha Final sin Sáb y Dom ni Feriados: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</si>
</sst>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3" xfId="0" applyFont="1" applyBorder="1"/>
    <xf numFmtId="44" fontId="2" fillId="0" borderId="14" xfId="1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3" fillId="0" borderId="0" xfId="0" applyFont="1"/>
    <xf numFmtId="9" fontId="0" fillId="0" borderId="0" xfId="0" applyNumberFormat="1"/>
    <xf numFmtId="14" fontId="0" fillId="0" borderId="0" xfId="1" applyNumberFormat="1" applyFont="1"/>
    <xf numFmtId="9" fontId="0" fillId="0" borderId="0" xfId="1" applyNumberFormat="1" applyFont="1"/>
    <xf numFmtId="0" fontId="0" fillId="0" borderId="0" xfId="0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44" fontId="0" fillId="0" borderId="0" xfId="1" applyFont="1" applyFill="1"/>
    <xf numFmtId="44" fontId="0" fillId="0" borderId="9" xfId="1" applyFont="1" applyBorder="1"/>
    <xf numFmtId="0" fontId="2" fillId="2" borderId="13" xfId="0" applyFont="1" applyFill="1" applyBorder="1"/>
    <xf numFmtId="44" fontId="2" fillId="2" borderId="14" xfId="1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5" xfId="0" applyBorder="1"/>
    <xf numFmtId="0" fontId="3" fillId="0" borderId="0" xfId="0" applyFont="1" applyBorder="1"/>
    <xf numFmtId="0" fontId="0" fillId="0" borderId="16" xfId="0" applyBorder="1"/>
    <xf numFmtId="44" fontId="0" fillId="0" borderId="17" xfId="1" applyFont="1" applyBorder="1"/>
    <xf numFmtId="0" fontId="7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'Estadistica de Servicios'!$D$5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'Estadistica de Servicios'!$B$6:$B$11</c:f>
              <c:strCache>
                <c:ptCount val="6"/>
                <c:pt idx="0">
                  <c:v>Sucursal 1</c:v>
                </c:pt>
                <c:pt idx="1">
                  <c:v>Sucursal 2</c:v>
                </c:pt>
                <c:pt idx="2">
                  <c:v>Sucursal 3</c:v>
                </c:pt>
                <c:pt idx="3">
                  <c:v>Sucursal 4</c:v>
                </c:pt>
                <c:pt idx="4">
                  <c:v>Sucursal 5</c:v>
                </c:pt>
                <c:pt idx="5">
                  <c:v>Sucursal 6</c:v>
                </c:pt>
              </c:strCache>
            </c:strRef>
          </c:cat>
          <c:val>
            <c:numRef>
              <c:f>'Estadistica de Servicios'!$D$6:$D$11</c:f>
              <c:numCache>
                <c:formatCode>_("$"* #,##0.00_);_("$"* \(#,##0.00\);_("$"* "-"??_);_(@_)</c:formatCode>
                <c:ptCount val="6"/>
                <c:pt idx="0">
                  <c:v>19660</c:v>
                </c:pt>
                <c:pt idx="1">
                  <c:v>19355</c:v>
                </c:pt>
                <c:pt idx="2">
                  <c:v>30725</c:v>
                </c:pt>
                <c:pt idx="3">
                  <c:v>16330</c:v>
                </c:pt>
                <c:pt idx="4">
                  <c:v>5020</c:v>
                </c:pt>
                <c:pt idx="5">
                  <c:v>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1C2-9C07-22839144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4359680"/>
        <c:axId val="1724361344"/>
        <c:axId val="0"/>
      </c:bar3DChart>
      <c:catAx>
        <c:axId val="17243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4361344"/>
        <c:crosses val="autoZero"/>
        <c:auto val="1"/>
        <c:lblAlgn val="ctr"/>
        <c:lblOffset val="100"/>
        <c:noMultiLvlLbl val="0"/>
      </c:catAx>
      <c:valAx>
        <c:axId val="17243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435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7535093214752218"/>
          <c:y val="4.2780748663101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053549858529774"/>
          <c:y val="7.7718360071301496E-3"/>
          <c:w val="0.28946437857514301"/>
          <c:h val="0.99222816399286984"/>
        </c:manualLayout>
      </c:layout>
      <c:pieChart>
        <c:varyColors val="1"/>
        <c:ser>
          <c:idx val="0"/>
          <c:order val="0"/>
          <c:tx>
            <c:strRef>
              <c:f>'Estadistica de Servicios'!$D$15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'Estadistica de Servicios'!$B$16:$B$21</c:f>
              <c:strCache>
                <c:ptCount val="6"/>
                <c:pt idx="0">
                  <c:v>Agua</c:v>
                </c:pt>
                <c:pt idx="1">
                  <c:v>Cable</c:v>
                </c:pt>
                <c:pt idx="2">
                  <c:v>Electricidad</c:v>
                </c:pt>
                <c:pt idx="3">
                  <c:v>Gas</c:v>
                </c:pt>
                <c:pt idx="4">
                  <c:v>Netflix</c:v>
                </c:pt>
                <c:pt idx="5">
                  <c:v>Telefonia</c:v>
                </c:pt>
              </c:strCache>
            </c:strRef>
          </c:cat>
          <c:val>
            <c:numRef>
              <c:f>'Estadistica de Servicios'!$D$16:$D$21</c:f>
              <c:numCache>
                <c:formatCode>_("$"* #,##0.00_);_("$"* \(#,##0.00\);_("$"* "-"??_);_(@_)</c:formatCode>
                <c:ptCount val="6"/>
                <c:pt idx="0">
                  <c:v>13610</c:v>
                </c:pt>
                <c:pt idx="1">
                  <c:v>7070</c:v>
                </c:pt>
                <c:pt idx="2">
                  <c:v>22519</c:v>
                </c:pt>
                <c:pt idx="3">
                  <c:v>24931</c:v>
                </c:pt>
                <c:pt idx="4">
                  <c:v>5600</c:v>
                </c:pt>
                <c:pt idx="5">
                  <c:v>25560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7-4C8F-88B5-A0914D61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772963831939114"/>
          <c:y val="0.40195994217300385"/>
          <c:w val="0.45227036168060897"/>
          <c:h val="0.10869641294838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761701662292214"/>
          <c:y val="0.19486111111111112"/>
          <c:w val="0.79736307961504815"/>
          <c:h val="0.596833260425780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'Estadistica de Servicios'!$D$25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'Estadistica de Servicios'!$B$26:$B$37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'Estadistica de Servicios'!$D$26:$D$37</c:f>
              <c:numCache>
                <c:formatCode>_("$"* #,##0.00_);_("$"* \(#,##0.00\);_("$"* "-"??_);_(@_)</c:formatCode>
                <c:ptCount val="12"/>
                <c:pt idx="0">
                  <c:v>24100</c:v>
                </c:pt>
                <c:pt idx="1">
                  <c:v>16200</c:v>
                </c:pt>
                <c:pt idx="2">
                  <c:v>18180</c:v>
                </c:pt>
                <c:pt idx="3">
                  <c:v>21210</c:v>
                </c:pt>
                <c:pt idx="4">
                  <c:v>800</c:v>
                </c:pt>
                <c:pt idx="5">
                  <c:v>18800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1-4EA7-890A-CF7D3F16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7217360"/>
        <c:axId val="1917225680"/>
        <c:axId val="0"/>
      </c:bar3DChart>
      <c:catAx>
        <c:axId val="19172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7225680"/>
        <c:crosses val="autoZero"/>
        <c:auto val="1"/>
        <c:lblAlgn val="ctr"/>
        <c:lblOffset val="100"/>
        <c:noMultiLvlLbl val="0"/>
      </c:catAx>
      <c:valAx>
        <c:axId val="19172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721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752474</xdr:colOff>
      <xdr:row>2</xdr:row>
      <xdr:rowOff>180975</xdr:rowOff>
    </xdr:from>
    <xdr:to>
      <xdr:col>13</xdr:col>
      <xdr:colOff>0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D47E1A-FA6E-A1DC-898A-24D6C7B1F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761999</xdr:colOff>
      <xdr:row>12</xdr:row>
      <xdr:rowOff>171450</xdr:rowOff>
    </xdr:from>
    <xdr:to>
      <xdr:col>13</xdr:col>
      <xdr:colOff>9524</xdr:colOff>
      <xdr:row>23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221B03-D2FA-9675-4949-CB7E77843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23</xdr:row>
      <xdr:rowOff>161925</xdr:rowOff>
    </xdr:from>
    <xdr:to>
      <xdr:col>13</xdr:col>
      <xdr:colOff>9525</xdr:colOff>
      <xdr:row>38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380C3B-A3AB-D150-1FC3-129EE7AA6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ase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tel Turistico"/>
      <sheetName val="Liquidación de Sueldos"/>
      <sheetName val="Fast Burguer"/>
      <sheetName val="Estadisticas"/>
      <sheetName val="Lista de Servicios"/>
    </sheetNames>
    <sheetDataSet>
      <sheetData sheetId="0"/>
      <sheetData sheetId="1"/>
      <sheetData sheetId="2">
        <row r="1">
          <cell r="C1">
            <v>300</v>
          </cell>
        </row>
        <row r="2">
          <cell r="A2" t="str">
            <v>Combos</v>
          </cell>
          <cell r="C2" t="str">
            <v>Agrandado</v>
          </cell>
          <cell r="D2" t="str">
            <v>Total $</v>
          </cell>
        </row>
        <row r="3">
          <cell r="A3" t="str">
            <v>C1</v>
          </cell>
          <cell r="C3" t="str">
            <v>si</v>
          </cell>
          <cell r="D3">
            <v>1300</v>
          </cell>
        </row>
        <row r="4">
          <cell r="A4" t="str">
            <v>C3</v>
          </cell>
          <cell r="C4" t="str">
            <v>no</v>
          </cell>
          <cell r="D4">
            <v>1000</v>
          </cell>
        </row>
        <row r="5">
          <cell r="A5" t="str">
            <v>C2</v>
          </cell>
          <cell r="C5" t="str">
            <v>si</v>
          </cell>
          <cell r="D5">
            <v>1300</v>
          </cell>
        </row>
        <row r="6">
          <cell r="A6" t="str">
            <v>C1</v>
          </cell>
          <cell r="C6" t="str">
            <v>no</v>
          </cell>
          <cell r="D6">
            <v>1000</v>
          </cell>
        </row>
        <row r="7">
          <cell r="A7" t="str">
            <v>C2</v>
          </cell>
          <cell r="C7" t="str">
            <v>si</v>
          </cell>
          <cell r="D7">
            <v>1300</v>
          </cell>
        </row>
        <row r="8">
          <cell r="A8" t="str">
            <v>C3</v>
          </cell>
          <cell r="C8" t="str">
            <v>no</v>
          </cell>
          <cell r="D8">
            <v>1000</v>
          </cell>
        </row>
        <row r="9">
          <cell r="A9" t="str">
            <v>C4</v>
          </cell>
          <cell r="C9" t="str">
            <v>si</v>
          </cell>
          <cell r="D9">
            <v>1300</v>
          </cell>
        </row>
        <row r="10">
          <cell r="A10" t="str">
            <v>C2</v>
          </cell>
          <cell r="C10" t="str">
            <v>no</v>
          </cell>
          <cell r="D10">
            <v>1000</v>
          </cell>
        </row>
        <row r="11">
          <cell r="A11" t="str">
            <v>C1</v>
          </cell>
          <cell r="C11" t="str">
            <v>si</v>
          </cell>
          <cell r="D11">
            <v>1300</v>
          </cell>
        </row>
        <row r="12">
          <cell r="A12" t="str">
            <v>C1</v>
          </cell>
          <cell r="C12" t="str">
            <v>no</v>
          </cell>
          <cell r="D12">
            <v>1000</v>
          </cell>
        </row>
        <row r="13">
          <cell r="A13" t="str">
            <v>C1</v>
          </cell>
          <cell r="C13" t="str">
            <v>si</v>
          </cell>
          <cell r="D13">
            <v>1300</v>
          </cell>
        </row>
        <row r="14">
          <cell r="A14" t="str">
            <v>C2</v>
          </cell>
          <cell r="C14" t="str">
            <v>no</v>
          </cell>
          <cell r="D14">
            <v>1000</v>
          </cell>
        </row>
        <row r="15">
          <cell r="A15" t="str">
            <v>C4</v>
          </cell>
          <cell r="C15" t="str">
            <v>no</v>
          </cell>
          <cell r="D15">
            <v>1000</v>
          </cell>
        </row>
        <row r="16">
          <cell r="A16" t="str">
            <v>C3</v>
          </cell>
          <cell r="C16" t="str">
            <v>si</v>
          </cell>
          <cell r="D16">
            <v>1300</v>
          </cell>
        </row>
        <row r="17">
          <cell r="A17" t="str">
            <v>C2</v>
          </cell>
          <cell r="C17" t="str">
            <v>no</v>
          </cell>
          <cell r="D17">
            <v>1000</v>
          </cell>
        </row>
        <row r="18">
          <cell r="A18" t="str">
            <v>C4</v>
          </cell>
          <cell r="C18" t="str">
            <v>si</v>
          </cell>
          <cell r="D18">
            <v>1300</v>
          </cell>
        </row>
        <row r="19">
          <cell r="A19" t="str">
            <v>C4</v>
          </cell>
          <cell r="C19" t="str">
            <v>si</v>
          </cell>
          <cell r="D19">
            <v>1300</v>
          </cell>
        </row>
        <row r="20">
          <cell r="A20" t="str">
            <v>C4</v>
          </cell>
          <cell r="C20" t="str">
            <v>si</v>
          </cell>
          <cell r="D20">
            <v>1300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5212-FE28-4401-B297-775271342CE9}">
  <sheetPr>
    <tabColor rgb="FFFFFF00"/>
  </sheetPr>
  <dimension ref="A1:E26"/>
  <sheetViews>
    <sheetView workbookViewId="0">
      <pane ySplit="2" topLeftCell="A3" activePane="bottomLeft" state="frozen"/>
      <selection pane="bottomLeft" activeCell="B27" sqref="B27"/>
    </sheetView>
  </sheetViews>
  <sheetFormatPr baseColWidth="10" defaultRowHeight="15" x14ac:dyDescent="0.25"/>
  <cols>
    <col min="5" max="5" width="13.7109375" customWidth="1"/>
  </cols>
  <sheetData>
    <row r="1" spans="1:5" ht="15.75" thickBot="1" x14ac:dyDescent="0.3">
      <c r="D1" s="8" t="s">
        <v>35</v>
      </c>
      <c r="E1" s="9">
        <f>SUM(importe)</f>
        <v>99290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</row>
    <row r="3" spans="1:5" x14ac:dyDescent="0.25">
      <c r="A3" t="s">
        <v>4</v>
      </c>
      <c r="B3" t="s">
        <v>5</v>
      </c>
      <c r="C3" t="s">
        <v>6</v>
      </c>
      <c r="D3" s="1">
        <v>5600</v>
      </c>
    </row>
    <row r="4" spans="1:5" x14ac:dyDescent="0.25">
      <c r="A4" t="s">
        <v>4</v>
      </c>
      <c r="B4" t="s">
        <v>7</v>
      </c>
      <c r="C4" t="s">
        <v>6</v>
      </c>
      <c r="D4" s="1">
        <v>3500</v>
      </c>
    </row>
    <row r="5" spans="1:5" x14ac:dyDescent="0.25">
      <c r="A5" t="s">
        <v>8</v>
      </c>
      <c r="B5" t="s">
        <v>9</v>
      </c>
      <c r="C5" t="s">
        <v>6</v>
      </c>
      <c r="D5" s="1">
        <v>2500</v>
      </c>
    </row>
    <row r="6" spans="1:5" x14ac:dyDescent="0.25">
      <c r="A6" t="s">
        <v>10</v>
      </c>
      <c r="B6" t="s">
        <v>7</v>
      </c>
      <c r="C6" t="s">
        <v>6</v>
      </c>
      <c r="D6" s="1">
        <v>8900</v>
      </c>
    </row>
    <row r="7" spans="1:5" x14ac:dyDescent="0.25">
      <c r="A7" t="s">
        <v>10</v>
      </c>
      <c r="B7" t="s">
        <v>9</v>
      </c>
      <c r="C7" t="s">
        <v>6</v>
      </c>
      <c r="D7" s="1">
        <v>3600</v>
      </c>
    </row>
    <row r="8" spans="1:5" x14ac:dyDescent="0.25">
      <c r="A8" t="s">
        <v>11</v>
      </c>
      <c r="B8" t="s">
        <v>12</v>
      </c>
      <c r="C8" t="s">
        <v>13</v>
      </c>
      <c r="D8" s="1">
        <v>2500</v>
      </c>
    </row>
    <row r="9" spans="1:5" x14ac:dyDescent="0.25">
      <c r="A9" t="s">
        <v>8</v>
      </c>
      <c r="B9" t="s">
        <v>5</v>
      </c>
      <c r="C9" t="s">
        <v>13</v>
      </c>
      <c r="D9" s="1">
        <v>1200</v>
      </c>
    </row>
    <row r="10" spans="1:5" x14ac:dyDescent="0.25">
      <c r="A10" t="s">
        <v>14</v>
      </c>
      <c r="B10" t="s">
        <v>5</v>
      </c>
      <c r="C10" t="s">
        <v>13</v>
      </c>
      <c r="D10" s="1">
        <v>3700</v>
      </c>
    </row>
    <row r="11" spans="1:5" x14ac:dyDescent="0.25">
      <c r="A11" t="s">
        <v>14</v>
      </c>
      <c r="B11" t="s">
        <v>12</v>
      </c>
      <c r="C11" t="s">
        <v>13</v>
      </c>
      <c r="D11" s="1">
        <v>8800</v>
      </c>
    </row>
    <row r="12" spans="1:5" x14ac:dyDescent="0.25">
      <c r="A12" t="s">
        <v>14</v>
      </c>
      <c r="B12" t="s">
        <v>7</v>
      </c>
      <c r="C12" t="s">
        <v>15</v>
      </c>
      <c r="D12" s="1">
        <v>6060</v>
      </c>
    </row>
    <row r="13" spans="1:5" x14ac:dyDescent="0.25">
      <c r="A13" t="s">
        <v>4</v>
      </c>
      <c r="B13" t="s">
        <v>9</v>
      </c>
      <c r="C13" t="s">
        <v>15</v>
      </c>
      <c r="D13" s="1">
        <v>5050</v>
      </c>
    </row>
    <row r="14" spans="1:5" x14ac:dyDescent="0.25">
      <c r="A14" t="s">
        <v>14</v>
      </c>
      <c r="B14" t="s">
        <v>16</v>
      </c>
      <c r="C14" t="s">
        <v>15</v>
      </c>
      <c r="D14" s="1">
        <v>4040</v>
      </c>
    </row>
    <row r="15" spans="1:5" x14ac:dyDescent="0.25">
      <c r="A15" t="s">
        <v>10</v>
      </c>
      <c r="B15" t="s">
        <v>16</v>
      </c>
      <c r="C15" t="s">
        <v>15</v>
      </c>
      <c r="D15" s="1">
        <v>3030</v>
      </c>
    </row>
    <row r="16" spans="1:5" x14ac:dyDescent="0.25">
      <c r="A16" t="s">
        <v>11</v>
      </c>
      <c r="B16" t="s">
        <v>5</v>
      </c>
      <c r="C16" t="s">
        <v>17</v>
      </c>
      <c r="D16" s="1">
        <v>2020</v>
      </c>
    </row>
    <row r="17" spans="1:4" x14ac:dyDescent="0.25">
      <c r="A17" t="s">
        <v>4</v>
      </c>
      <c r="B17" t="s">
        <v>12</v>
      </c>
      <c r="C17" t="s">
        <v>17</v>
      </c>
      <c r="D17" s="1">
        <v>1010</v>
      </c>
    </row>
    <row r="18" spans="1:4" x14ac:dyDescent="0.25">
      <c r="A18" t="s">
        <v>8</v>
      </c>
      <c r="B18" t="s">
        <v>5</v>
      </c>
      <c r="C18" t="s">
        <v>17</v>
      </c>
      <c r="D18" s="1">
        <v>9999</v>
      </c>
    </row>
    <row r="19" spans="1:4" x14ac:dyDescent="0.25">
      <c r="A19" t="s">
        <v>14</v>
      </c>
      <c r="B19" t="s">
        <v>9</v>
      </c>
      <c r="C19" t="s">
        <v>17</v>
      </c>
      <c r="D19" s="1">
        <v>2525</v>
      </c>
    </row>
    <row r="20" spans="1:4" x14ac:dyDescent="0.25">
      <c r="A20" t="s">
        <v>8</v>
      </c>
      <c r="B20" t="s">
        <v>9</v>
      </c>
      <c r="C20" t="s">
        <v>17</v>
      </c>
      <c r="D20" s="1">
        <v>5656</v>
      </c>
    </row>
    <row r="21" spans="1:4" x14ac:dyDescent="0.25">
      <c r="A21" t="s">
        <v>10</v>
      </c>
      <c r="B21" t="s">
        <v>12</v>
      </c>
      <c r="C21" t="s">
        <v>25</v>
      </c>
      <c r="D21" s="1">
        <v>800</v>
      </c>
    </row>
    <row r="22" spans="1:4" x14ac:dyDescent="0.25">
      <c r="A22" t="s">
        <v>11</v>
      </c>
      <c r="B22" t="s">
        <v>12</v>
      </c>
      <c r="C22" t="s">
        <v>26</v>
      </c>
      <c r="D22" s="1">
        <v>500</v>
      </c>
    </row>
    <row r="23" spans="1:4" x14ac:dyDescent="0.25">
      <c r="A23" t="s">
        <v>4</v>
      </c>
      <c r="B23" t="s">
        <v>7</v>
      </c>
      <c r="C23" t="s">
        <v>26</v>
      </c>
      <c r="D23" s="1">
        <v>4500</v>
      </c>
    </row>
    <row r="24" spans="1:4" x14ac:dyDescent="0.25">
      <c r="A24" t="s">
        <v>14</v>
      </c>
      <c r="B24" t="s">
        <v>9</v>
      </c>
      <c r="C24" t="s">
        <v>26</v>
      </c>
      <c r="D24" s="1">
        <v>5600</v>
      </c>
    </row>
    <row r="25" spans="1:4" x14ac:dyDescent="0.25">
      <c r="A25" t="s">
        <v>72</v>
      </c>
      <c r="B25" t="s">
        <v>7</v>
      </c>
      <c r="C25" t="s">
        <v>26</v>
      </c>
      <c r="D25" s="1">
        <v>2600</v>
      </c>
    </row>
    <row r="26" spans="1:4" x14ac:dyDescent="0.25">
      <c r="A26" t="s">
        <v>72</v>
      </c>
      <c r="B26" t="s">
        <v>73</v>
      </c>
      <c r="C26" t="s">
        <v>26</v>
      </c>
      <c r="D26" s="1">
        <v>5600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F072-0DFD-4954-90EA-CB3C61645CED}">
  <sheetPr>
    <tabColor rgb="FFFFFF00"/>
  </sheetPr>
  <dimension ref="A1:I38"/>
  <sheetViews>
    <sheetView workbookViewId="0">
      <pane ySplit="2" topLeftCell="A3" activePane="bottomLeft" state="frozen"/>
      <selection pane="bottomLeft" activeCell="E16" sqref="E16"/>
    </sheetView>
  </sheetViews>
  <sheetFormatPr baseColWidth="10" defaultRowHeight="15" x14ac:dyDescent="0.25"/>
  <cols>
    <col min="4" max="4" width="22.28515625" customWidth="1"/>
  </cols>
  <sheetData>
    <row r="1" spans="1:9" x14ac:dyDescent="0.25">
      <c r="F1" s="2"/>
      <c r="G1" s="10" t="s">
        <v>0</v>
      </c>
      <c r="H1" s="10" t="s">
        <v>1</v>
      </c>
      <c r="I1" s="11" t="s">
        <v>2</v>
      </c>
    </row>
    <row r="2" spans="1:9" ht="15.75" thickBot="1" x14ac:dyDescent="0.3">
      <c r="F2" s="12" t="s">
        <v>36</v>
      </c>
      <c r="G2" s="5" t="str">
        <f>IF(D12='Lista de Servicios Pagados'!$E$1,"verdad","falso")</f>
        <v>verdad</v>
      </c>
      <c r="H2" s="5" t="str">
        <f>IF(D22='Lista de Servicios Pagados'!$E$1,"verdad","falso")</f>
        <v>verdad</v>
      </c>
      <c r="I2" s="5" t="str">
        <f>IF(D38='Lista de Servicios Pagados'!$E$1,"verdad","falso")</f>
        <v>verdad</v>
      </c>
    </row>
    <row r="4" spans="1:9" ht="15.75" thickBot="1" x14ac:dyDescent="0.3"/>
    <row r="5" spans="1:9" ht="15.75" thickBot="1" x14ac:dyDescent="0.3">
      <c r="B5" s="24" t="s">
        <v>0</v>
      </c>
      <c r="C5" s="25" t="s">
        <v>33</v>
      </c>
      <c r="D5" s="26" t="s">
        <v>34</v>
      </c>
    </row>
    <row r="6" spans="1:9" x14ac:dyDescent="0.25">
      <c r="A6" s="13" t="s">
        <v>4</v>
      </c>
      <c r="B6" s="6" t="s">
        <v>18</v>
      </c>
      <c r="C6" s="7">
        <f>COUNTIF(sucursal,A6)</f>
        <v>5</v>
      </c>
      <c r="D6" s="21">
        <f>SUMIF(sucursal,A6,importe)</f>
        <v>19660</v>
      </c>
    </row>
    <row r="7" spans="1:9" x14ac:dyDescent="0.25">
      <c r="A7" s="13" t="s">
        <v>8</v>
      </c>
      <c r="B7" s="3" t="s">
        <v>19</v>
      </c>
      <c r="C7" s="7">
        <f>COUNTIF(sucursal,A7)</f>
        <v>4</v>
      </c>
      <c r="D7" s="21">
        <f>SUMIF(sucursal,A7,importe)</f>
        <v>19355</v>
      </c>
    </row>
    <row r="8" spans="1:9" x14ac:dyDescent="0.25">
      <c r="A8" s="13" t="s">
        <v>14</v>
      </c>
      <c r="B8" s="3" t="s">
        <v>20</v>
      </c>
      <c r="C8" s="7">
        <f>COUNTIF(sucursal,A8)</f>
        <v>6</v>
      </c>
      <c r="D8" s="21">
        <f>SUMIF(sucursal,A8,importe)</f>
        <v>30725</v>
      </c>
    </row>
    <row r="9" spans="1:9" x14ac:dyDescent="0.25">
      <c r="A9" s="13" t="s">
        <v>10</v>
      </c>
      <c r="B9" s="3" t="s">
        <v>21</v>
      </c>
      <c r="C9" s="7">
        <f>COUNTIF(sucursal,A9)</f>
        <v>4</v>
      </c>
      <c r="D9" s="21">
        <f>SUMIF(sucursal,A9,importe)</f>
        <v>16330</v>
      </c>
    </row>
    <row r="10" spans="1:9" x14ac:dyDescent="0.25">
      <c r="A10" s="13" t="s">
        <v>11</v>
      </c>
      <c r="B10" s="3" t="s">
        <v>22</v>
      </c>
      <c r="C10" s="7">
        <f>COUNTIF(sucursal,A10)</f>
        <v>3</v>
      </c>
      <c r="D10" s="21">
        <f>SUMIF(sucursal,A10,importe)</f>
        <v>5020</v>
      </c>
    </row>
    <row r="11" spans="1:9" ht="15.75" thickBot="1" x14ac:dyDescent="0.3">
      <c r="A11" s="13" t="s">
        <v>72</v>
      </c>
      <c r="B11" s="3" t="s">
        <v>74</v>
      </c>
      <c r="C11" s="7">
        <f>COUNTIF(sucursal,A11)</f>
        <v>2</v>
      </c>
      <c r="D11" s="21">
        <f>SUMIF(sucursal,A11,importe)</f>
        <v>8200</v>
      </c>
    </row>
    <row r="12" spans="1:9" ht="15.75" thickBot="1" x14ac:dyDescent="0.3">
      <c r="C12" s="22" t="s">
        <v>34</v>
      </c>
      <c r="D12" s="23">
        <f>SUM(D6:D11)</f>
        <v>99290</v>
      </c>
    </row>
    <row r="14" spans="1:9" ht="15.75" thickBot="1" x14ac:dyDescent="0.3"/>
    <row r="15" spans="1:9" ht="15.75" thickBot="1" x14ac:dyDescent="0.3">
      <c r="B15" s="24" t="s">
        <v>1</v>
      </c>
      <c r="C15" s="25" t="s">
        <v>33</v>
      </c>
      <c r="D15" s="26" t="s">
        <v>34</v>
      </c>
    </row>
    <row r="16" spans="1:9" x14ac:dyDescent="0.25">
      <c r="A16" s="13" t="s">
        <v>12</v>
      </c>
      <c r="B16" s="6" t="s">
        <v>12</v>
      </c>
      <c r="C16" s="7">
        <f>COUNTIF(motivo,A16)</f>
        <v>5</v>
      </c>
      <c r="D16" s="21">
        <f>SUMIF(motivo,A16,importe)</f>
        <v>13610</v>
      </c>
    </row>
    <row r="17" spans="1:4" x14ac:dyDescent="0.25">
      <c r="A17" s="13" t="s">
        <v>16</v>
      </c>
      <c r="B17" s="3" t="s">
        <v>16</v>
      </c>
      <c r="C17" s="7">
        <f>COUNTIF(motivo,A17)</f>
        <v>2</v>
      </c>
      <c r="D17" s="21">
        <f>SUMIF(motivo,A17,importe)</f>
        <v>7070</v>
      </c>
    </row>
    <row r="18" spans="1:4" x14ac:dyDescent="0.25">
      <c r="A18" s="13" t="s">
        <v>5</v>
      </c>
      <c r="B18" s="3" t="s">
        <v>23</v>
      </c>
      <c r="C18" s="7">
        <f>COUNTIF(motivo,A18)</f>
        <v>5</v>
      </c>
      <c r="D18" s="21">
        <f>SUMIF(motivo,A18,importe)</f>
        <v>22519</v>
      </c>
    </row>
    <row r="19" spans="1:4" x14ac:dyDescent="0.25">
      <c r="A19" s="13" t="s">
        <v>9</v>
      </c>
      <c r="B19" s="3" t="s">
        <v>9</v>
      </c>
      <c r="C19" s="7">
        <f>COUNTIF(motivo,A19)</f>
        <v>6</v>
      </c>
      <c r="D19" s="21">
        <f>SUMIF(motivo,A19,importe)</f>
        <v>24931</v>
      </c>
    </row>
    <row r="20" spans="1:4" x14ac:dyDescent="0.25">
      <c r="A20" s="28" t="s">
        <v>73</v>
      </c>
      <c r="B20" s="27" t="s">
        <v>73</v>
      </c>
      <c r="C20" s="7">
        <f>COUNTIF(motivo,A20)</f>
        <v>1</v>
      </c>
      <c r="D20" s="21">
        <f>SUMIF(motivo,A20,importe)</f>
        <v>5600</v>
      </c>
    </row>
    <row r="21" spans="1:4" ht="15.75" thickBot="1" x14ac:dyDescent="0.3">
      <c r="A21" s="13" t="s">
        <v>7</v>
      </c>
      <c r="B21" s="4" t="s">
        <v>24</v>
      </c>
      <c r="C21" s="29">
        <f>COUNTIF(motivo,A21)</f>
        <v>5</v>
      </c>
      <c r="D21" s="30">
        <f>SUMIF(motivo,A21,importe)</f>
        <v>25560</v>
      </c>
    </row>
    <row r="22" spans="1:4" ht="15.75" thickBot="1" x14ac:dyDescent="0.3">
      <c r="C22" s="22" t="s">
        <v>34</v>
      </c>
      <c r="D22" s="23">
        <f>SUM(D16:D21)</f>
        <v>99290</v>
      </c>
    </row>
    <row r="24" spans="1:4" ht="15.75" thickBot="1" x14ac:dyDescent="0.3"/>
    <row r="25" spans="1:4" ht="15.75" thickBot="1" x14ac:dyDescent="0.3">
      <c r="B25" s="24" t="s">
        <v>2</v>
      </c>
      <c r="C25" s="25" t="s">
        <v>33</v>
      </c>
      <c r="D25" s="26" t="s">
        <v>34</v>
      </c>
    </row>
    <row r="26" spans="1:4" x14ac:dyDescent="0.25">
      <c r="B26" s="6" t="s">
        <v>6</v>
      </c>
      <c r="C26" s="7">
        <f>COUNTIF(mes,B26)</f>
        <v>5</v>
      </c>
      <c r="D26" s="21">
        <f>SUMIF(mes,B26,importe)</f>
        <v>24100</v>
      </c>
    </row>
    <row r="27" spans="1:4" x14ac:dyDescent="0.25">
      <c r="B27" s="3" t="s">
        <v>13</v>
      </c>
      <c r="C27" s="7">
        <f>COUNTIF(mes,B27)</f>
        <v>4</v>
      </c>
      <c r="D27" s="21">
        <f>SUMIF(mes,B27,importe)</f>
        <v>16200</v>
      </c>
    </row>
    <row r="28" spans="1:4" x14ac:dyDescent="0.25">
      <c r="B28" s="3" t="s">
        <v>15</v>
      </c>
      <c r="C28" s="7">
        <f>COUNTIF(mes,B28)</f>
        <v>4</v>
      </c>
      <c r="D28" s="21">
        <f>SUMIF(mes,B28,importe)</f>
        <v>18180</v>
      </c>
    </row>
    <row r="29" spans="1:4" x14ac:dyDescent="0.25">
      <c r="B29" s="3" t="s">
        <v>17</v>
      </c>
      <c r="C29" s="7">
        <f>COUNTIF(mes,B29)</f>
        <v>5</v>
      </c>
      <c r="D29" s="21">
        <f>SUMIF(mes,B29,importe)</f>
        <v>21210</v>
      </c>
    </row>
    <row r="30" spans="1:4" x14ac:dyDescent="0.25">
      <c r="B30" s="3" t="s">
        <v>25</v>
      </c>
      <c r="C30" s="7">
        <f>COUNTIF(mes,B30)</f>
        <v>1</v>
      </c>
      <c r="D30" s="21">
        <f>SUMIF(mes,B30,importe)</f>
        <v>800</v>
      </c>
    </row>
    <row r="31" spans="1:4" x14ac:dyDescent="0.25">
      <c r="B31" s="3" t="s">
        <v>26</v>
      </c>
      <c r="C31" s="7">
        <f>COUNTIF(mes,B31)</f>
        <v>5</v>
      </c>
      <c r="D31" s="21">
        <f>SUMIF(mes,B31,importe)</f>
        <v>18800</v>
      </c>
    </row>
    <row r="32" spans="1:4" x14ac:dyDescent="0.25">
      <c r="B32" s="3" t="s">
        <v>27</v>
      </c>
      <c r="C32" s="7">
        <f>COUNTIF(mes,B32)</f>
        <v>0</v>
      </c>
      <c r="D32" s="21">
        <f>SUMIF(mes,B32,importe)</f>
        <v>0</v>
      </c>
    </row>
    <row r="33" spans="2:4" x14ac:dyDescent="0.25">
      <c r="B33" s="3" t="s">
        <v>28</v>
      </c>
      <c r="C33" s="7">
        <f>COUNTIF(mes,B33)</f>
        <v>0</v>
      </c>
      <c r="D33" s="21">
        <f>SUMIF(mes,B33,importe)</f>
        <v>0</v>
      </c>
    </row>
    <row r="34" spans="2:4" x14ac:dyDescent="0.25">
      <c r="B34" s="3" t="s">
        <v>29</v>
      </c>
      <c r="C34" s="7">
        <f>COUNTIF(mes,B34)</f>
        <v>0</v>
      </c>
      <c r="D34" s="21">
        <f>SUMIF(mes,B34,importe)</f>
        <v>0</v>
      </c>
    </row>
    <row r="35" spans="2:4" x14ac:dyDescent="0.25">
      <c r="B35" s="3" t="s">
        <v>30</v>
      </c>
      <c r="C35" s="7">
        <f>COUNTIF(mes,B35)</f>
        <v>0</v>
      </c>
      <c r="D35" s="21">
        <f>SUMIF(mes,B35,importe)</f>
        <v>0</v>
      </c>
    </row>
    <row r="36" spans="2:4" x14ac:dyDescent="0.25">
      <c r="B36" s="3" t="s">
        <v>31</v>
      </c>
      <c r="C36" s="7">
        <f>COUNTIF(mes,B36)</f>
        <v>0</v>
      </c>
      <c r="D36" s="21">
        <f>SUMIF(mes,B36,importe)</f>
        <v>0</v>
      </c>
    </row>
    <row r="37" spans="2:4" ht="15.75" thickBot="1" x14ac:dyDescent="0.3">
      <c r="B37" s="4" t="s">
        <v>32</v>
      </c>
      <c r="C37" s="7">
        <f>COUNTIF(mes,B37)</f>
        <v>0</v>
      </c>
      <c r="D37" s="21">
        <f>SUMIF(mes,B37,importe)</f>
        <v>0</v>
      </c>
    </row>
    <row r="38" spans="2:4" ht="15.75" thickBot="1" x14ac:dyDescent="0.3">
      <c r="C38" s="22" t="s">
        <v>34</v>
      </c>
      <c r="D38" s="23">
        <f>SUM(D26:D37)</f>
        <v>99290</v>
      </c>
    </row>
  </sheetData>
  <phoneticPr fontId="4" type="noConversion"/>
  <conditionalFormatting sqref="G2:I2">
    <cfRule type="cellIs" dxfId="1" priority="4" operator="equal">
      <formula>"verdad"</formula>
    </cfRule>
    <cfRule type="cellIs" dxfId="0" priority="5" operator="equal">
      <formula>"falso"</formula>
    </cfRule>
  </conditionalFormatting>
  <conditionalFormatting sqref="D6:D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{371E2F17-128C-4103-B540-F6F43453FFF3}</x14:id>
        </ext>
      </extLst>
    </cfRule>
  </conditionalFormatting>
  <conditionalFormatting sqref="D16:D2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{DD308B44-BDE4-41EC-948B-44B567AD5FF3}</x14:id>
        </ext>
      </extLst>
    </cfRule>
  </conditionalFormatting>
  <conditionalFormatting sqref="D26:D3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{B913E600-2D52-456D-A730-429708CFA49B}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1E2F17-128C-4103-B540-F6F43453FF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D6:D11</xm:sqref>
        </x14:conditionalFormatting>
        <x14:conditionalFormatting xmlns:xm="http://schemas.microsoft.com/office/excel/2006/main">
          <x14:cfRule type="dataBar" id="{DD308B44-BDE4-41EC-948B-44B567AD5F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D16:D21</xm:sqref>
        </x14:conditionalFormatting>
        <x14:conditionalFormatting xmlns:xm="http://schemas.microsoft.com/office/excel/2006/main">
          <x14:cfRule type="dataBar" id="{B913E600-2D52-456D-A730-429708CFA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93E8-6CCF-4247-8BAC-D89CF2DB214A}">
  <sheetPr>
    <tabColor theme="7" tint="-0.249977111117893"/>
  </sheetPr>
  <dimension ref="A1:W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baseColWidth="10" defaultRowHeight="15" x14ac:dyDescent="0.25"/>
  <cols>
    <col min="1" max="1" width="23" customWidth="1"/>
    <col min="2" max="2" width="13.85546875" bestFit="1" customWidth="1"/>
    <col min="3" max="3" width="13.140625" bestFit="1" customWidth="1"/>
    <col min="7" max="7" width="18.140625" bestFit="1" customWidth="1"/>
    <col min="14" max="14" width="18.85546875" bestFit="1" customWidth="1"/>
    <col min="16" max="16" width="18.5703125" bestFit="1" customWidth="1"/>
    <col min="18" max="18" width="12.42578125" bestFit="1" customWidth="1"/>
    <col min="22" max="22" width="16.28515625" bestFit="1" customWidth="1"/>
    <col min="23" max="23" width="12" bestFit="1" customWidth="1"/>
  </cols>
  <sheetData>
    <row r="1" spans="1:23" x14ac:dyDescent="0.25">
      <c r="E1" s="14">
        <v>0.5</v>
      </c>
      <c r="F1" s="14">
        <v>1</v>
      </c>
      <c r="H1" s="1">
        <v>350</v>
      </c>
      <c r="I1" s="1">
        <v>500</v>
      </c>
      <c r="J1" s="1">
        <v>4000</v>
      </c>
      <c r="K1" s="15">
        <f ca="1">TODAY()</f>
        <v>44711</v>
      </c>
      <c r="L1" s="15"/>
      <c r="M1" s="16">
        <v>0.01</v>
      </c>
      <c r="S1" s="14">
        <v>0.11</v>
      </c>
      <c r="T1" s="14">
        <v>0.06</v>
      </c>
      <c r="U1" s="14">
        <v>0.03</v>
      </c>
    </row>
    <row r="2" spans="1:23" s="17" customFormat="1" ht="29.25" customHeight="1" x14ac:dyDescent="0.25">
      <c r="A2" s="17" t="s">
        <v>37</v>
      </c>
      <c r="B2" s="17" t="s">
        <v>38</v>
      </c>
      <c r="C2" s="17" t="s">
        <v>39</v>
      </c>
      <c r="D2" s="17" t="s">
        <v>40</v>
      </c>
      <c r="E2" s="17" t="s">
        <v>41</v>
      </c>
      <c r="F2" s="17" t="s">
        <v>42</v>
      </c>
      <c r="G2" s="17" t="s">
        <v>43</v>
      </c>
      <c r="H2" s="17" t="s">
        <v>44</v>
      </c>
      <c r="I2" s="17" t="s">
        <v>45</v>
      </c>
      <c r="J2" s="17" t="s">
        <v>46</v>
      </c>
      <c r="K2" s="17" t="s">
        <v>47</v>
      </c>
      <c r="L2" s="17" t="s">
        <v>48</v>
      </c>
      <c r="M2" s="17" t="s">
        <v>49</v>
      </c>
      <c r="N2" s="17" t="s">
        <v>50</v>
      </c>
      <c r="O2" s="17" t="s">
        <v>51</v>
      </c>
      <c r="P2" s="17" t="s">
        <v>52</v>
      </c>
      <c r="Q2" s="17" t="s">
        <v>53</v>
      </c>
      <c r="R2" s="17" t="s">
        <v>54</v>
      </c>
      <c r="S2" s="17" t="s">
        <v>55</v>
      </c>
      <c r="T2" s="17" t="s">
        <v>56</v>
      </c>
      <c r="U2" s="17" t="s">
        <v>57</v>
      </c>
      <c r="V2" s="17" t="s">
        <v>58</v>
      </c>
      <c r="W2" s="17" t="s">
        <v>59</v>
      </c>
    </row>
    <row r="3" spans="1:23" x14ac:dyDescent="0.25">
      <c r="A3">
        <v>1001</v>
      </c>
      <c r="B3" t="s">
        <v>60</v>
      </c>
      <c r="C3" s="1">
        <v>50000</v>
      </c>
      <c r="D3" s="1">
        <f>C3/200</f>
        <v>250</v>
      </c>
      <c r="E3">
        <v>12</v>
      </c>
      <c r="F3">
        <v>3</v>
      </c>
      <c r="G3" s="18">
        <f>D3*E3*1.5+D3*F3*2</f>
        <v>6000</v>
      </c>
      <c r="H3">
        <v>3</v>
      </c>
      <c r="I3" t="s">
        <v>61</v>
      </c>
      <c r="J3" t="s">
        <v>61</v>
      </c>
      <c r="K3" s="19">
        <v>38509</v>
      </c>
      <c r="L3">
        <f ca="1">INT(DAYS360(K3,$K$1)/360)</f>
        <v>16</v>
      </c>
      <c r="M3" s="20">
        <f ca="1">L3*$M$1*C3</f>
        <v>8000</v>
      </c>
      <c r="N3" s="1">
        <v>12000</v>
      </c>
      <c r="O3" s="1">
        <v>4000</v>
      </c>
      <c r="P3" s="18">
        <f ca="1">C3+G3+N3+IF(J3="SI",$J$1,0)+M3</f>
        <v>80000</v>
      </c>
      <c r="Q3" s="18">
        <f>O3+H3*$H$1+IF(I3="SI",$I$1,0)</f>
        <v>5550</v>
      </c>
      <c r="R3" s="18">
        <f ca="1">P3+Q3</f>
        <v>85550</v>
      </c>
      <c r="S3" s="18">
        <f ca="1">$P3*S$1</f>
        <v>8800</v>
      </c>
      <c r="T3" s="18">
        <f t="shared" ref="T3:U3" ca="1" si="0">$P3*T$1</f>
        <v>4800</v>
      </c>
      <c r="U3" s="18">
        <f t="shared" ca="1" si="0"/>
        <v>2400</v>
      </c>
      <c r="V3" s="18">
        <f ca="1">SUM(S3:U3)</f>
        <v>16000</v>
      </c>
      <c r="W3" s="18">
        <f ca="1">R3-V3</f>
        <v>69550</v>
      </c>
    </row>
    <row r="4" spans="1:23" x14ac:dyDescent="0.25">
      <c r="A4">
        <v>1002</v>
      </c>
      <c r="B4" t="s">
        <v>62</v>
      </c>
      <c r="C4" s="1">
        <v>50000</v>
      </c>
      <c r="D4" s="1">
        <f t="shared" ref="D4:D7" si="1">C4/200</f>
        <v>250</v>
      </c>
      <c r="E4">
        <v>5</v>
      </c>
      <c r="F4">
        <v>0</v>
      </c>
      <c r="G4" s="18">
        <f t="shared" ref="G4:G7" si="2">D4*E4*1.5+D4*F4*2</f>
        <v>1875</v>
      </c>
      <c r="H4">
        <v>2</v>
      </c>
      <c r="I4" t="s">
        <v>63</v>
      </c>
      <c r="J4" t="s">
        <v>61</v>
      </c>
      <c r="K4" s="19">
        <v>38969</v>
      </c>
      <c r="L4">
        <f t="shared" ref="L4:L7" ca="1" si="3">INT(DAYS360(K4,$K$1)/360)</f>
        <v>15</v>
      </c>
      <c r="M4" s="20">
        <f t="shared" ref="M4:M7" ca="1" si="4">L4*$M$1*C4</f>
        <v>7500</v>
      </c>
      <c r="N4" s="1">
        <v>12000</v>
      </c>
      <c r="O4" s="1">
        <v>4000</v>
      </c>
      <c r="P4" s="18">
        <f t="shared" ref="P4:P7" ca="1" si="5">C4+G4+N4+IF(J4="SI",$J$1,0)+M4</f>
        <v>75375</v>
      </c>
      <c r="Q4" s="18">
        <f t="shared" ref="Q4:Q7" si="6">O4+H4*$H$1+IF(I4="SI",$I$1,0)</f>
        <v>4700</v>
      </c>
      <c r="R4" s="18">
        <f t="shared" ref="R4:R7" ca="1" si="7">P4+Q4</f>
        <v>80075</v>
      </c>
      <c r="S4" s="18">
        <f t="shared" ref="S4:U7" ca="1" si="8">$P4*S$1</f>
        <v>8291.25</v>
      </c>
      <c r="T4" s="18">
        <f t="shared" ca="1" si="8"/>
        <v>4522.5</v>
      </c>
      <c r="U4" s="18">
        <f t="shared" ca="1" si="8"/>
        <v>2261.25</v>
      </c>
      <c r="V4" s="18">
        <f t="shared" ref="V4:V7" ca="1" si="9">SUM(S4:U4)</f>
        <v>15075</v>
      </c>
      <c r="W4" s="18">
        <f t="shared" ref="W4:W7" ca="1" si="10">R4-V4</f>
        <v>65000</v>
      </c>
    </row>
    <row r="5" spans="1:23" x14ac:dyDescent="0.25">
      <c r="A5">
        <v>1003</v>
      </c>
      <c r="B5" t="s">
        <v>64</v>
      </c>
      <c r="C5" s="1">
        <v>50000</v>
      </c>
      <c r="D5" s="1">
        <f t="shared" si="1"/>
        <v>250</v>
      </c>
      <c r="E5">
        <v>0</v>
      </c>
      <c r="F5">
        <v>0</v>
      </c>
      <c r="G5" s="18">
        <f t="shared" si="2"/>
        <v>0</v>
      </c>
      <c r="H5">
        <v>0</v>
      </c>
      <c r="I5" t="s">
        <v>61</v>
      </c>
      <c r="J5" t="s">
        <v>63</v>
      </c>
      <c r="K5" s="19">
        <v>40096</v>
      </c>
      <c r="L5">
        <f t="shared" ca="1" si="3"/>
        <v>12</v>
      </c>
      <c r="M5" s="20">
        <f t="shared" ca="1" si="4"/>
        <v>6000</v>
      </c>
      <c r="N5" s="1">
        <v>12000</v>
      </c>
      <c r="O5" s="1">
        <v>4000</v>
      </c>
      <c r="P5" s="18">
        <f t="shared" ca="1" si="5"/>
        <v>68000</v>
      </c>
      <c r="Q5" s="18">
        <f t="shared" si="6"/>
        <v>4500</v>
      </c>
      <c r="R5" s="18">
        <f t="shared" ca="1" si="7"/>
        <v>72500</v>
      </c>
      <c r="S5" s="18">
        <f t="shared" ca="1" si="8"/>
        <v>7480</v>
      </c>
      <c r="T5" s="18">
        <f t="shared" ca="1" si="8"/>
        <v>4080</v>
      </c>
      <c r="U5" s="18">
        <f t="shared" ca="1" si="8"/>
        <v>2040</v>
      </c>
      <c r="V5" s="18">
        <f t="shared" ca="1" si="9"/>
        <v>13600</v>
      </c>
      <c r="W5" s="18">
        <f t="shared" ca="1" si="10"/>
        <v>58900</v>
      </c>
    </row>
    <row r="6" spans="1:23" x14ac:dyDescent="0.25">
      <c r="A6">
        <v>1004</v>
      </c>
      <c r="B6" t="s">
        <v>71</v>
      </c>
      <c r="C6" s="1">
        <v>50000</v>
      </c>
      <c r="D6" s="1">
        <f t="shared" si="1"/>
        <v>250</v>
      </c>
      <c r="E6">
        <v>0</v>
      </c>
      <c r="F6">
        <v>2</v>
      </c>
      <c r="G6" s="18">
        <f t="shared" si="2"/>
        <v>1000</v>
      </c>
      <c r="H6">
        <v>1</v>
      </c>
      <c r="I6" t="s">
        <v>63</v>
      </c>
      <c r="J6" t="s">
        <v>63</v>
      </c>
      <c r="K6" s="19">
        <v>40858</v>
      </c>
      <c r="L6">
        <f t="shared" ca="1" si="3"/>
        <v>10</v>
      </c>
      <c r="M6" s="20">
        <f t="shared" ca="1" si="4"/>
        <v>5000</v>
      </c>
      <c r="N6" s="1">
        <v>12000</v>
      </c>
      <c r="O6" s="1">
        <v>4000</v>
      </c>
      <c r="P6" s="18">
        <f t="shared" ca="1" si="5"/>
        <v>68000</v>
      </c>
      <c r="Q6" s="18">
        <f t="shared" si="6"/>
        <v>4350</v>
      </c>
      <c r="R6" s="18">
        <f t="shared" ca="1" si="7"/>
        <v>72350</v>
      </c>
      <c r="S6" s="18">
        <f t="shared" ca="1" si="8"/>
        <v>7480</v>
      </c>
      <c r="T6" s="18">
        <f t="shared" ca="1" si="8"/>
        <v>4080</v>
      </c>
      <c r="U6" s="18">
        <f t="shared" ca="1" si="8"/>
        <v>2040</v>
      </c>
      <c r="V6" s="18">
        <f t="shared" ca="1" si="9"/>
        <v>13600</v>
      </c>
      <c r="W6" s="18">
        <f t="shared" ca="1" si="10"/>
        <v>58750</v>
      </c>
    </row>
    <row r="7" spans="1:23" x14ac:dyDescent="0.25">
      <c r="A7">
        <v>1005</v>
      </c>
      <c r="B7" t="s">
        <v>65</v>
      </c>
      <c r="C7" s="1">
        <v>50000</v>
      </c>
      <c r="D7" s="1">
        <f t="shared" si="1"/>
        <v>250</v>
      </c>
      <c r="E7">
        <v>40</v>
      </c>
      <c r="F7">
        <v>10</v>
      </c>
      <c r="G7" s="18">
        <f t="shared" si="2"/>
        <v>20000</v>
      </c>
      <c r="H7">
        <v>1</v>
      </c>
      <c r="I7" t="s">
        <v>61</v>
      </c>
      <c r="J7" t="s">
        <v>61</v>
      </c>
      <c r="K7" s="19">
        <v>42350</v>
      </c>
      <c r="L7">
        <f t="shared" ca="1" si="3"/>
        <v>6</v>
      </c>
      <c r="M7" s="20">
        <f t="shared" ca="1" si="4"/>
        <v>3000</v>
      </c>
      <c r="N7" s="1">
        <v>12000</v>
      </c>
      <c r="O7" s="1">
        <v>4000</v>
      </c>
      <c r="P7" s="18">
        <f t="shared" ca="1" si="5"/>
        <v>89000</v>
      </c>
      <c r="Q7" s="18">
        <f t="shared" si="6"/>
        <v>4850</v>
      </c>
      <c r="R7" s="18">
        <f t="shared" ca="1" si="7"/>
        <v>93850</v>
      </c>
      <c r="S7" s="18">
        <f t="shared" ca="1" si="8"/>
        <v>9790</v>
      </c>
      <c r="T7" s="18">
        <f t="shared" ca="1" si="8"/>
        <v>5340</v>
      </c>
      <c r="U7" s="18">
        <f t="shared" ca="1" si="8"/>
        <v>2670</v>
      </c>
      <c r="V7" s="18">
        <f t="shared" ca="1" si="9"/>
        <v>17800</v>
      </c>
      <c r="W7" s="18">
        <f t="shared" ca="1" si="10"/>
        <v>76050</v>
      </c>
    </row>
    <row r="9" spans="1:23" x14ac:dyDescent="0.25">
      <c r="L9" t="s">
        <v>66</v>
      </c>
    </row>
    <row r="10" spans="1:23" x14ac:dyDescent="0.25">
      <c r="M10" t="s">
        <v>67</v>
      </c>
    </row>
    <row r="11" spans="1:23" x14ac:dyDescent="0.25">
      <c r="A11" t="s">
        <v>68</v>
      </c>
      <c r="P11" t="s">
        <v>69</v>
      </c>
    </row>
    <row r="13" spans="1:23" x14ac:dyDescent="0.25">
      <c r="A13" t="s">
        <v>70</v>
      </c>
      <c r="B13">
        <f>COUNTBLANK(B3:B7)</f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4FCA-6EDE-4842-BD2F-509EB25A7506}">
  <sheetPr>
    <tabColor rgb="FFFFFF00"/>
  </sheetPr>
  <dimension ref="A1:H15"/>
  <sheetViews>
    <sheetView tabSelected="1" workbookViewId="0">
      <selection activeCell="B12" sqref="B12"/>
    </sheetView>
  </sheetViews>
  <sheetFormatPr baseColWidth="10" defaultRowHeight="15" x14ac:dyDescent="0.25"/>
  <cols>
    <col min="1" max="1" width="37.28515625" customWidth="1"/>
  </cols>
  <sheetData>
    <row r="1" spans="1:8" ht="23.25" x14ac:dyDescent="0.25">
      <c r="A1" s="31" t="s">
        <v>75</v>
      </c>
      <c r="B1" s="31"/>
      <c r="C1" s="31"/>
      <c r="D1" s="31"/>
      <c r="E1" s="31"/>
      <c r="F1" s="31"/>
      <c r="G1" s="31"/>
      <c r="H1" s="31"/>
    </row>
    <row r="3" spans="1:8" x14ac:dyDescent="0.25">
      <c r="A3" t="s">
        <v>76</v>
      </c>
      <c r="B3" s="19">
        <v>44713</v>
      </c>
    </row>
    <row r="4" spans="1:8" x14ac:dyDescent="0.25">
      <c r="A4" t="s">
        <v>77</v>
      </c>
      <c r="B4" s="19">
        <v>45078</v>
      </c>
    </row>
    <row r="5" spans="1:8" x14ac:dyDescent="0.25">
      <c r="A5" t="s">
        <v>78</v>
      </c>
      <c r="B5">
        <f>B4-B3</f>
        <v>365</v>
      </c>
    </row>
    <row r="6" spans="1:8" x14ac:dyDescent="0.25">
      <c r="A6" t="s">
        <v>79</v>
      </c>
      <c r="B6">
        <f>NETWORKDAYS(B3,B4)</f>
        <v>262</v>
      </c>
    </row>
    <row r="7" spans="1:8" x14ac:dyDescent="0.25">
      <c r="A7" t="s">
        <v>102</v>
      </c>
      <c r="B7">
        <f>NETWORKDAYS(B3,B4,feriados)</f>
        <v>253</v>
      </c>
    </row>
    <row r="11" spans="1:8" x14ac:dyDescent="0.25">
      <c r="A11" t="s">
        <v>76</v>
      </c>
      <c r="B11" s="19">
        <v>44713</v>
      </c>
    </row>
    <row r="12" spans="1:8" x14ac:dyDescent="0.25">
      <c r="A12" t="s">
        <v>104</v>
      </c>
      <c r="B12">
        <v>250</v>
      </c>
    </row>
    <row r="13" spans="1:8" x14ac:dyDescent="0.25">
      <c r="A13" t="s">
        <v>105</v>
      </c>
      <c r="B13" s="19">
        <f>B11+B12</f>
        <v>44963</v>
      </c>
    </row>
    <row r="14" spans="1:8" x14ac:dyDescent="0.25">
      <c r="A14" t="s">
        <v>106</v>
      </c>
      <c r="B14" s="19">
        <f>WORKDAY(B11,B12)</f>
        <v>45063</v>
      </c>
    </row>
    <row r="15" spans="1:8" x14ac:dyDescent="0.25">
      <c r="A15" t="s">
        <v>107</v>
      </c>
      <c r="B15" s="19">
        <f>WORKDAY(B11,B12,feriados)</f>
        <v>45076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5A2B-B5A5-4EB4-89B5-FC4D50AA067F}">
  <sheetPr>
    <tabColor rgb="FFFFFF00"/>
  </sheetPr>
  <dimension ref="A1:H18"/>
  <sheetViews>
    <sheetView workbookViewId="0">
      <selection activeCell="J1" sqref="J1:M18"/>
    </sheetView>
  </sheetViews>
  <sheetFormatPr baseColWidth="10" defaultRowHeight="15" x14ac:dyDescent="0.25"/>
  <cols>
    <col min="1" max="1" width="13.28515625" style="19" customWidth="1"/>
    <col min="2" max="2" width="14.28515625" bestFit="1" customWidth="1"/>
    <col min="11" max="11" width="11.85546875" bestFit="1" customWidth="1"/>
  </cols>
  <sheetData>
    <row r="1" spans="1:8" x14ac:dyDescent="0.25">
      <c r="B1" t="s">
        <v>1</v>
      </c>
      <c r="C1" t="s">
        <v>91</v>
      </c>
      <c r="G1" t="s">
        <v>92</v>
      </c>
      <c r="H1" t="s">
        <v>93</v>
      </c>
    </row>
    <row r="2" spans="1:8" x14ac:dyDescent="0.25">
      <c r="A2" s="19">
        <v>44729</v>
      </c>
      <c r="B2" t="s">
        <v>80</v>
      </c>
      <c r="C2" t="str">
        <f>VLOOKUP(WEEKDAY(A2,2),semana,2)</f>
        <v>Viernes</v>
      </c>
      <c r="G2">
        <v>1</v>
      </c>
      <c r="H2" t="s">
        <v>94</v>
      </c>
    </row>
    <row r="3" spans="1:8" x14ac:dyDescent="0.25">
      <c r="A3" s="19">
        <v>44732</v>
      </c>
      <c r="B3" t="s">
        <v>81</v>
      </c>
      <c r="C3" t="str">
        <f>VLOOKUP(WEEKDAY(A3,2),semana,2)</f>
        <v>Lunes</v>
      </c>
      <c r="G3">
        <v>2</v>
      </c>
      <c r="H3" t="s">
        <v>95</v>
      </c>
    </row>
    <row r="4" spans="1:8" x14ac:dyDescent="0.25">
      <c r="A4" s="19">
        <v>44751</v>
      </c>
      <c r="B4" t="s">
        <v>82</v>
      </c>
      <c r="C4" t="str">
        <f>VLOOKUP(WEEKDAY(A4,2),semana,2)</f>
        <v>Sábado</v>
      </c>
      <c r="G4">
        <v>3</v>
      </c>
      <c r="H4" t="s">
        <v>96</v>
      </c>
    </row>
    <row r="5" spans="1:8" x14ac:dyDescent="0.25">
      <c r="A5" s="19">
        <v>44788</v>
      </c>
      <c r="B5" t="s">
        <v>83</v>
      </c>
      <c r="C5" t="str">
        <f>VLOOKUP(WEEKDAY(A5,2),semana,2)</f>
        <v>Lunes</v>
      </c>
      <c r="G5">
        <v>4</v>
      </c>
      <c r="H5" t="s">
        <v>97</v>
      </c>
    </row>
    <row r="6" spans="1:8" x14ac:dyDescent="0.25">
      <c r="A6" s="19">
        <v>44841</v>
      </c>
      <c r="B6" t="s">
        <v>84</v>
      </c>
      <c r="C6" t="str">
        <f>VLOOKUP(WEEKDAY(A6,2),semana,2)</f>
        <v>Viernes</v>
      </c>
      <c r="G6">
        <v>5</v>
      </c>
      <c r="H6" t="s">
        <v>98</v>
      </c>
    </row>
    <row r="7" spans="1:8" x14ac:dyDescent="0.25">
      <c r="A7" s="19">
        <v>44844</v>
      </c>
      <c r="B7" t="s">
        <v>85</v>
      </c>
      <c r="C7" t="str">
        <f>VLOOKUP(WEEKDAY(A7,2),semana,2)</f>
        <v>Lunes</v>
      </c>
      <c r="G7">
        <v>6</v>
      </c>
      <c r="H7" t="s">
        <v>99</v>
      </c>
    </row>
    <row r="8" spans="1:8" x14ac:dyDescent="0.25">
      <c r="A8" s="19">
        <v>44885</v>
      </c>
      <c r="B8" t="s">
        <v>84</v>
      </c>
      <c r="C8" t="str">
        <f>VLOOKUP(WEEKDAY(A8,2),semana,2)</f>
        <v>Domingo</v>
      </c>
      <c r="G8">
        <v>7</v>
      </c>
      <c r="H8" t="s">
        <v>100</v>
      </c>
    </row>
    <row r="9" spans="1:8" x14ac:dyDescent="0.25">
      <c r="A9" s="19">
        <v>44886</v>
      </c>
      <c r="B9" t="s">
        <v>86</v>
      </c>
      <c r="C9" t="str">
        <f>VLOOKUP(WEEKDAY(A9,2),semana,2)</f>
        <v>Lunes</v>
      </c>
    </row>
    <row r="10" spans="1:8" x14ac:dyDescent="0.25">
      <c r="A10" s="19">
        <v>44903</v>
      </c>
      <c r="B10" t="s">
        <v>87</v>
      </c>
      <c r="C10" t="str">
        <f>VLOOKUP(WEEKDAY(A10,2),semana,2)</f>
        <v>Jueves</v>
      </c>
    </row>
    <row r="11" spans="1:8" x14ac:dyDescent="0.25">
      <c r="A11" s="19">
        <v>44904</v>
      </c>
      <c r="B11" t="s">
        <v>84</v>
      </c>
      <c r="C11" t="str">
        <f>VLOOKUP(WEEKDAY(A11,2),semana,2)</f>
        <v>Viernes</v>
      </c>
    </row>
    <row r="12" spans="1:8" x14ac:dyDescent="0.25">
      <c r="A12" s="19">
        <v>44919</v>
      </c>
      <c r="B12" t="s">
        <v>88</v>
      </c>
      <c r="C12" t="str">
        <f>VLOOKUP(WEEKDAY(A12,2),semana,2)</f>
        <v>Sábado</v>
      </c>
    </row>
    <row r="13" spans="1:8" x14ac:dyDescent="0.25">
      <c r="A13" s="19">
        <v>44920</v>
      </c>
      <c r="B13" t="s">
        <v>88</v>
      </c>
      <c r="C13" t="str">
        <f>VLOOKUP(WEEKDAY(A13,2),semana,2)</f>
        <v>Domingo</v>
      </c>
    </row>
    <row r="14" spans="1:8" x14ac:dyDescent="0.25">
      <c r="A14" s="19">
        <v>44926</v>
      </c>
      <c r="B14" t="s">
        <v>89</v>
      </c>
      <c r="C14" t="str">
        <f>VLOOKUP(WEEKDAY(A14,2),semana,2)</f>
        <v>Sábado</v>
      </c>
    </row>
    <row r="15" spans="1:8" x14ac:dyDescent="0.25">
      <c r="A15" s="19">
        <v>44927</v>
      </c>
      <c r="B15" t="s">
        <v>90</v>
      </c>
      <c r="C15" t="str">
        <f>VLOOKUP(WEEKDAY(A15,2),semana,2)</f>
        <v>Domingo</v>
      </c>
    </row>
    <row r="16" spans="1:8" x14ac:dyDescent="0.25">
      <c r="A16" s="19">
        <v>44962</v>
      </c>
      <c r="B16" t="s">
        <v>101</v>
      </c>
      <c r="C16" t="str">
        <f>VLOOKUP(WEEKDAY(A16,2),semana,2)</f>
        <v>Domingo</v>
      </c>
    </row>
    <row r="17" spans="1:3" x14ac:dyDescent="0.25">
      <c r="A17" s="19">
        <v>44983</v>
      </c>
      <c r="B17" t="s">
        <v>103</v>
      </c>
      <c r="C17" t="str">
        <f>VLOOKUP(WEEKDAY(A17,2),semana,2)</f>
        <v>Domingo</v>
      </c>
    </row>
    <row r="18" spans="1:3" x14ac:dyDescent="0.25">
      <c r="A18" s="19">
        <v>44984</v>
      </c>
      <c r="B18" t="s">
        <v>103</v>
      </c>
      <c r="C18" t="str">
        <f>VLOOKUP(WEEKDAY(A18,2),semana,2)</f>
        <v>Lunes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Lista de Servicios Pagados</vt:lpstr>
      <vt:lpstr>Estadistica de Servicios</vt:lpstr>
      <vt:lpstr>Liquidación de Sueldos</vt:lpstr>
      <vt:lpstr>Gestión de Proyecto</vt:lpstr>
      <vt:lpstr>Feriados</vt:lpstr>
      <vt:lpstr>feriados</vt:lpstr>
      <vt:lpstr>importe</vt:lpstr>
      <vt:lpstr>mes</vt:lpstr>
      <vt:lpstr>motivo</vt:lpstr>
      <vt:lpstr>semana</vt:lpstr>
      <vt:lpstr>sucursal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2022-05-30T13:08:20Z</dcterms:created>
  <dcterms:modified xsi:type="dcterms:W3CDTF">2022-05-30T14:57:54Z</dcterms:modified>
</cp:coreProperties>
</file>
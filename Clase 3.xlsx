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\"/>
    </mc:Choice>
  </mc:AlternateContent>
  <xr:revisionPtr revIDLastSave="0" documentId="13_ncr:1_{7379C589-E106-42F8-8F1F-9EB0B8694240}" xr6:coauthVersionLast="47" xr6:coauthVersionMax="47" xr10:uidLastSave="{00000000-0000-0000-0000-000000000000}"/>
  <bookViews>
    <workbookView xWindow="-120" yWindow="-120" windowWidth="17520" windowHeight="12600" activeTab="2" xr2:uid="{6E1A5A1C-8889-411C-8CDC-9548B9522CC9}"/>
  </bookViews>
  <sheets>
    <sheet name="Referencias Mixtas" sheetId="1" r:id="rId1"/>
    <sheet name="Liquidación de sueldos" sheetId="2" r:id="rId2"/>
    <sheet name="Formula Condicio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3" l="1"/>
  <c r="E2" i="3"/>
  <c r="F2" i="3" s="1"/>
  <c r="E5" i="3"/>
  <c r="F5" i="3" s="1"/>
  <c r="E4" i="3"/>
  <c r="F4" i="3" s="1"/>
  <c r="E3" i="3"/>
  <c r="O8" i="2"/>
  <c r="O4" i="2"/>
  <c r="O5" i="2"/>
  <c r="O6" i="2"/>
  <c r="O7" i="2"/>
  <c r="O3" i="2"/>
  <c r="N4" i="2"/>
  <c r="N5" i="2"/>
  <c r="N6" i="2"/>
  <c r="N7" i="2"/>
  <c r="N3" i="2"/>
  <c r="K3" i="2"/>
  <c r="L3" i="2"/>
  <c r="M3" i="2"/>
  <c r="L4" i="2"/>
  <c r="M4" i="2"/>
  <c r="L5" i="2"/>
  <c r="M5" i="2"/>
  <c r="L6" i="2"/>
  <c r="M6" i="2"/>
  <c r="L7" i="2"/>
  <c r="M7" i="2"/>
  <c r="K4" i="2"/>
  <c r="K5" i="2"/>
  <c r="K6" i="2"/>
  <c r="K7" i="2"/>
  <c r="J3" i="2"/>
  <c r="J4" i="2"/>
  <c r="J5" i="2"/>
  <c r="J6" i="2"/>
  <c r="J7" i="2"/>
  <c r="I4" i="2"/>
  <c r="I5" i="2"/>
  <c r="I6" i="2"/>
  <c r="I7" i="2"/>
  <c r="I3" i="2"/>
  <c r="D13" i="2"/>
  <c r="D14" i="2"/>
  <c r="D15" i="2"/>
  <c r="D16" i="2"/>
  <c r="D17" i="2"/>
  <c r="F4" i="2"/>
  <c r="F5" i="2"/>
  <c r="F6" i="2"/>
  <c r="F7" i="2"/>
  <c r="F3" i="2"/>
  <c r="C4" i="2"/>
  <c r="C5" i="2"/>
  <c r="C6" i="2"/>
  <c r="C7" i="2"/>
  <c r="C3" i="2"/>
  <c r="C5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C6" i="1"/>
  <c r="C7" i="1"/>
  <c r="C8" i="1"/>
  <c r="C9" i="1"/>
  <c r="C10" i="1"/>
  <c r="C11" i="1"/>
  <c r="C12" i="1"/>
  <c r="C13" i="1"/>
</calcChain>
</file>

<file path=xl/sharedStrings.xml><?xml version="1.0" encoding="utf-8"?>
<sst xmlns="http://schemas.openxmlformats.org/spreadsheetml/2006/main" count="42" uniqueCount="42">
  <si>
    <t>Distancia kms</t>
  </si>
  <si>
    <t>Combustible:</t>
  </si>
  <si>
    <t>Velocidad kms/hora</t>
  </si>
  <si>
    <t>Consumo litros x km</t>
  </si>
  <si>
    <t>Legajo</t>
  </si>
  <si>
    <t>Sueldo Básico</t>
  </si>
  <si>
    <t>Valor Hora</t>
  </si>
  <si>
    <t>Horas Extras Simples</t>
  </si>
  <si>
    <t xml:space="preserve">Horas Extras Dobles </t>
  </si>
  <si>
    <t>Total $ Horas Extras</t>
  </si>
  <si>
    <t xml:space="preserve"> =C3*D3*1,5+C3*E3*2</t>
  </si>
  <si>
    <t xml:space="preserve"> =C3*(D3*1,5+E3*2)</t>
  </si>
  <si>
    <t>Horas Extras</t>
  </si>
  <si>
    <t>Suma Remunerativa</t>
  </si>
  <si>
    <t>Suma No Remunerativa</t>
  </si>
  <si>
    <t>Total Remunerativo</t>
  </si>
  <si>
    <t>Sueldo Bruto</t>
  </si>
  <si>
    <t>Jubilación</t>
  </si>
  <si>
    <t>Obra Social</t>
  </si>
  <si>
    <t>Aporte Sindical</t>
  </si>
  <si>
    <t xml:space="preserve"> =I3*$K$1</t>
  </si>
  <si>
    <t xml:space="preserve"> =I3*$L$1</t>
  </si>
  <si>
    <t xml:space="preserve"> =I3*$M$1</t>
  </si>
  <si>
    <t>Referencias Absolutas</t>
  </si>
  <si>
    <t>Referencias Mixtas</t>
  </si>
  <si>
    <t xml:space="preserve"> =$I3*K$1</t>
  </si>
  <si>
    <t>Total Descuentos</t>
  </si>
  <si>
    <t>Sueldo Neto</t>
  </si>
  <si>
    <t>Total:</t>
  </si>
  <si>
    <t>Matemáticas</t>
  </si>
  <si>
    <t>Historia</t>
  </si>
  <si>
    <t>Castellano</t>
  </si>
  <si>
    <t>Promedio de notas</t>
  </si>
  <si>
    <t>Andrea</t>
  </si>
  <si>
    <t>Gloria</t>
  </si>
  <si>
    <t>Matías</t>
  </si>
  <si>
    <t>José</t>
  </si>
  <si>
    <t>Nombre</t>
  </si>
  <si>
    <t>Situación</t>
  </si>
  <si>
    <t>Situación: Si el promedio del alumno es mayor o igual a 7 esta "Aprobado" sino es "Desaprobado"</t>
  </si>
  <si>
    <t>Formula: = si ( prueba logica ; Valor Verdad ; Valor Falso )</t>
  </si>
  <si>
    <t xml:space="preserve"> =SI(E2&gt;=7;"Aprobado";"Desaprobado")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</si>
</sst>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 vertical="center" wrapText="1"/>
    </xf>
    <xf numFmtId="9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4" fillId="2" borderId="1" xfId="0" applyFont="1" applyFill="1" applyBorder="1"/>
    <xf numFmtId="0" fontId="4" fillId="3" borderId="1" xfId="0" applyFont="1" applyFill="1" applyBorder="1"/>
    <xf numFmtId="0" fontId="4" fillId="2" borderId="2" xfId="0" applyFont="1" applyFill="1" applyBorder="1"/>
    <xf numFmtId="0" fontId="4" fillId="3" borderId="6" xfId="0" applyFont="1" applyFill="1" applyBorder="1"/>
    <xf numFmtId="2" fontId="4" fillId="3" borderId="7" xfId="0" applyNumberFormat="1" applyFont="1" applyFill="1" applyBorder="1"/>
    <xf numFmtId="0" fontId="4" fillId="2" borderId="6" xfId="0" applyFont="1" applyFill="1" applyBorder="1"/>
    <xf numFmtId="2" fontId="4" fillId="2" borderId="7" xfId="0" applyNumberFormat="1" applyFont="1" applyFill="1" applyBorder="1"/>
    <xf numFmtId="0" fontId="4" fillId="2" borderId="8" xfId="0" applyFont="1" applyFill="1" applyBorder="1"/>
    <xf numFmtId="2" fontId="4" fillId="2" borderId="9" xfId="0" applyNumberFormat="1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8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131A-6BC4-4DA9-964C-2397555E623B}">
  <sheetPr>
    <tabColor rgb="FFFFC000"/>
  </sheetPr>
  <dimension ref="A1:I13"/>
  <sheetViews>
    <sheetView zoomScale="120" zoomScaleNormal="120" workbookViewId="0">
      <selection activeCell="A15" sqref="A15"/>
    </sheetView>
  </sheetViews>
  <sheetFormatPr baseColWidth="10" defaultRowHeight="15" x14ac:dyDescent="0.25"/>
  <cols>
    <col min="1" max="1" width="13" bestFit="1" customWidth="1"/>
    <col min="2" max="2" width="18.85546875" bestFit="1" customWidth="1"/>
    <col min="3" max="9" width="12.7109375" bestFit="1" customWidth="1"/>
  </cols>
  <sheetData>
    <row r="1" spans="1:9" x14ac:dyDescent="0.25">
      <c r="B1" t="s">
        <v>1</v>
      </c>
      <c r="C1" s="1">
        <v>140</v>
      </c>
    </row>
    <row r="2" spans="1:9" x14ac:dyDescent="0.25">
      <c r="C2" s="1"/>
    </row>
    <row r="3" spans="1:9" x14ac:dyDescent="0.25">
      <c r="B3" t="s">
        <v>3</v>
      </c>
      <c r="C3">
        <v>0.1</v>
      </c>
      <c r="D3">
        <v>0.12</v>
      </c>
      <c r="E3">
        <v>0.15</v>
      </c>
      <c r="F3">
        <v>0.18</v>
      </c>
      <c r="G3">
        <v>0.21</v>
      </c>
      <c r="H3">
        <v>0.24</v>
      </c>
      <c r="I3">
        <v>0.3</v>
      </c>
    </row>
    <row r="4" spans="1:9" x14ac:dyDescent="0.25">
      <c r="A4" t="s">
        <v>0</v>
      </c>
      <c r="B4" t="s">
        <v>2</v>
      </c>
      <c r="C4">
        <v>60</v>
      </c>
      <c r="D4">
        <v>70</v>
      </c>
      <c r="E4">
        <v>80</v>
      </c>
      <c r="F4">
        <v>90</v>
      </c>
      <c r="G4">
        <v>100</v>
      </c>
      <c r="H4">
        <v>110</v>
      </c>
      <c r="I4">
        <v>120</v>
      </c>
    </row>
    <row r="5" spans="1:9" x14ac:dyDescent="0.25">
      <c r="A5">
        <v>10</v>
      </c>
      <c r="C5" s="2">
        <f>C$3*$A5*$C$1</f>
        <v>140</v>
      </c>
      <c r="D5" s="2">
        <f t="shared" ref="D5:I5" si="0">D$3*$A5*$C$1</f>
        <v>168</v>
      </c>
      <c r="E5" s="2">
        <f t="shared" si="0"/>
        <v>210</v>
      </c>
      <c r="F5" s="2">
        <f t="shared" si="0"/>
        <v>251.99999999999997</v>
      </c>
      <c r="G5" s="2">
        <f t="shared" si="0"/>
        <v>294</v>
      </c>
      <c r="H5" s="2">
        <f t="shared" si="0"/>
        <v>336</v>
      </c>
      <c r="I5" s="2">
        <f t="shared" si="0"/>
        <v>420</v>
      </c>
    </row>
    <row r="6" spans="1:9" x14ac:dyDescent="0.25">
      <c r="A6">
        <v>20</v>
      </c>
      <c r="C6" s="2">
        <f t="shared" ref="C6:I13" si="1">C$3*$A6*$C$1</f>
        <v>280</v>
      </c>
      <c r="D6" s="2">
        <f t="shared" si="1"/>
        <v>336</v>
      </c>
      <c r="E6" s="2">
        <f t="shared" si="1"/>
        <v>420</v>
      </c>
      <c r="F6" s="2">
        <f t="shared" si="1"/>
        <v>503.99999999999994</v>
      </c>
      <c r="G6" s="2">
        <f t="shared" si="1"/>
        <v>588</v>
      </c>
      <c r="H6" s="2">
        <f t="shared" si="1"/>
        <v>672</v>
      </c>
      <c r="I6" s="2">
        <f t="shared" si="1"/>
        <v>840</v>
      </c>
    </row>
    <row r="7" spans="1:9" x14ac:dyDescent="0.25">
      <c r="A7">
        <v>50</v>
      </c>
      <c r="C7" s="2">
        <f t="shared" si="1"/>
        <v>700</v>
      </c>
      <c r="D7" s="2">
        <f t="shared" si="1"/>
        <v>840</v>
      </c>
      <c r="E7" s="2">
        <f t="shared" si="1"/>
        <v>1050</v>
      </c>
      <c r="F7" s="2">
        <f t="shared" si="1"/>
        <v>1260</v>
      </c>
      <c r="G7" s="2">
        <f t="shared" si="1"/>
        <v>1470</v>
      </c>
      <c r="H7" s="2">
        <f t="shared" si="1"/>
        <v>1680</v>
      </c>
      <c r="I7" s="2">
        <f t="shared" si="1"/>
        <v>2100</v>
      </c>
    </row>
    <row r="8" spans="1:9" x14ac:dyDescent="0.25">
      <c r="A8">
        <v>100</v>
      </c>
      <c r="C8" s="2">
        <f t="shared" si="1"/>
        <v>1400</v>
      </c>
      <c r="D8" s="2">
        <f t="shared" si="1"/>
        <v>1680</v>
      </c>
      <c r="E8" s="2">
        <f t="shared" si="1"/>
        <v>2100</v>
      </c>
      <c r="F8" s="2">
        <f t="shared" si="1"/>
        <v>2520</v>
      </c>
      <c r="G8" s="2">
        <f t="shared" si="1"/>
        <v>2940</v>
      </c>
      <c r="H8" s="2">
        <f t="shared" si="1"/>
        <v>3360</v>
      </c>
      <c r="I8" s="2">
        <f t="shared" si="1"/>
        <v>4200</v>
      </c>
    </row>
    <row r="9" spans="1:9" x14ac:dyDescent="0.25">
      <c r="A9">
        <v>200</v>
      </c>
      <c r="C9" s="2">
        <f t="shared" si="1"/>
        <v>2800</v>
      </c>
      <c r="D9" s="2">
        <f t="shared" si="1"/>
        <v>3360</v>
      </c>
      <c r="E9" s="2">
        <f t="shared" si="1"/>
        <v>4200</v>
      </c>
      <c r="F9" s="2">
        <f t="shared" si="1"/>
        <v>5040</v>
      </c>
      <c r="G9" s="2">
        <f t="shared" si="1"/>
        <v>5880</v>
      </c>
      <c r="H9" s="2">
        <f t="shared" si="1"/>
        <v>6720</v>
      </c>
      <c r="I9" s="2">
        <f t="shared" si="1"/>
        <v>8400</v>
      </c>
    </row>
    <row r="10" spans="1:9" x14ac:dyDescent="0.25">
      <c r="A10">
        <v>300</v>
      </c>
      <c r="C10" s="2">
        <f t="shared" si="1"/>
        <v>4200</v>
      </c>
      <c r="D10" s="2">
        <f t="shared" si="1"/>
        <v>5040</v>
      </c>
      <c r="E10" s="2">
        <f t="shared" si="1"/>
        <v>6300</v>
      </c>
      <c r="F10" s="2">
        <f t="shared" si="1"/>
        <v>7560</v>
      </c>
      <c r="G10" s="2">
        <f t="shared" si="1"/>
        <v>8820</v>
      </c>
      <c r="H10" s="2">
        <f t="shared" si="1"/>
        <v>10080</v>
      </c>
      <c r="I10" s="2">
        <f t="shared" si="1"/>
        <v>12600</v>
      </c>
    </row>
    <row r="11" spans="1:9" x14ac:dyDescent="0.25">
      <c r="A11">
        <v>500</v>
      </c>
      <c r="C11" s="2">
        <f t="shared" si="1"/>
        <v>7000</v>
      </c>
      <c r="D11" s="2">
        <f t="shared" si="1"/>
        <v>8400</v>
      </c>
      <c r="E11" s="2">
        <f t="shared" si="1"/>
        <v>10500</v>
      </c>
      <c r="F11" s="2">
        <f t="shared" si="1"/>
        <v>12600</v>
      </c>
      <c r="G11" s="2">
        <f t="shared" si="1"/>
        <v>14700</v>
      </c>
      <c r="H11" s="2">
        <f t="shared" si="1"/>
        <v>16800</v>
      </c>
      <c r="I11" s="2">
        <f t="shared" si="1"/>
        <v>21000</v>
      </c>
    </row>
    <row r="12" spans="1:9" x14ac:dyDescent="0.25">
      <c r="A12">
        <v>1000</v>
      </c>
      <c r="C12" s="2">
        <f t="shared" si="1"/>
        <v>14000</v>
      </c>
      <c r="D12" s="2">
        <f t="shared" si="1"/>
        <v>16800</v>
      </c>
      <c r="E12" s="2">
        <f t="shared" si="1"/>
        <v>21000</v>
      </c>
      <c r="F12" s="2">
        <f t="shared" si="1"/>
        <v>25200</v>
      </c>
      <c r="G12" s="2">
        <f t="shared" si="1"/>
        <v>29400</v>
      </c>
      <c r="H12" s="2">
        <f t="shared" si="1"/>
        <v>33600</v>
      </c>
      <c r="I12" s="2">
        <f t="shared" si="1"/>
        <v>42000</v>
      </c>
    </row>
    <row r="13" spans="1:9" x14ac:dyDescent="0.25">
      <c r="A13">
        <v>2000</v>
      </c>
      <c r="C13" s="2">
        <f t="shared" si="1"/>
        <v>28000</v>
      </c>
      <c r="D13" s="2">
        <f t="shared" si="1"/>
        <v>33600</v>
      </c>
      <c r="E13" s="2">
        <f t="shared" si="1"/>
        <v>42000</v>
      </c>
      <c r="F13" s="2">
        <f t="shared" si="1"/>
        <v>50400</v>
      </c>
      <c r="G13" s="2">
        <f t="shared" si="1"/>
        <v>58800</v>
      </c>
      <c r="H13" s="2">
        <f t="shared" si="1"/>
        <v>67200</v>
      </c>
      <c r="I13" s="2">
        <f t="shared" si="1"/>
        <v>84000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8251-A868-482C-BDED-F80C5070DEBF}">
  <sheetPr>
    <tabColor rgb="FFFFC000"/>
  </sheetPr>
  <dimension ref="A1:O17"/>
  <sheetViews>
    <sheetView topLeftCell="E1" zoomScale="110" zoomScaleNormal="110" workbookViewId="0">
      <selection activeCell="O9" sqref="O9"/>
    </sheetView>
  </sheetViews>
  <sheetFormatPr baseColWidth="10" defaultRowHeight="15" x14ac:dyDescent="0.25"/>
  <cols>
    <col min="1" max="1" width="6.7109375" bestFit="1" customWidth="1"/>
    <col min="2" max="2" width="11.85546875" customWidth="1"/>
    <col min="3" max="3" width="9.85546875" customWidth="1"/>
    <col min="4" max="4" width="12.140625" customWidth="1"/>
    <col min="6" max="6" width="12" customWidth="1"/>
    <col min="7" max="7" width="13.140625" customWidth="1"/>
    <col min="8" max="8" width="13.85546875" customWidth="1"/>
    <col min="9" max="9" width="13.28515625" customWidth="1"/>
    <col min="10" max="10" width="12.140625" bestFit="1" customWidth="1"/>
    <col min="14" max="14" width="11.85546875" customWidth="1"/>
    <col min="15" max="15" width="13.140625" bestFit="1" customWidth="1"/>
  </cols>
  <sheetData>
    <row r="1" spans="1:15" x14ac:dyDescent="0.25">
      <c r="D1" s="4">
        <v>0.5</v>
      </c>
      <c r="E1" s="4">
        <v>1</v>
      </c>
      <c r="K1" s="4">
        <v>0.11</v>
      </c>
      <c r="L1" s="4">
        <v>0.06</v>
      </c>
      <c r="M1" s="4">
        <v>0.03</v>
      </c>
    </row>
    <row r="2" spans="1:15" s="3" customFormat="1" ht="29.25" customHeight="1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26</v>
      </c>
      <c r="O2" s="3" t="s">
        <v>27</v>
      </c>
    </row>
    <row r="3" spans="1:15" x14ac:dyDescent="0.25">
      <c r="A3">
        <v>1001</v>
      </c>
      <c r="B3" s="1">
        <v>50000</v>
      </c>
      <c r="C3" s="1">
        <f>B3/200</f>
        <v>250</v>
      </c>
      <c r="D3">
        <v>12</v>
      </c>
      <c r="E3">
        <v>3</v>
      </c>
      <c r="F3" s="2">
        <f>C3*D3*1.5+C3*E3*2</f>
        <v>6000</v>
      </c>
      <c r="G3" s="1">
        <v>12000</v>
      </c>
      <c r="H3" s="1">
        <v>4000</v>
      </c>
      <c r="I3" s="2">
        <f>B3+F3+G3</f>
        <v>68000</v>
      </c>
      <c r="J3" s="2">
        <f>H3+I3</f>
        <v>72000</v>
      </c>
      <c r="K3" s="2">
        <f>$I3*K$1</f>
        <v>7480</v>
      </c>
      <c r="L3" s="2">
        <f t="shared" ref="L3:M3" si="0">$I3*L$1</f>
        <v>4080</v>
      </c>
      <c r="M3" s="2">
        <f t="shared" si="0"/>
        <v>2040</v>
      </c>
      <c r="N3" s="2">
        <f>SUM(K3:M3)</f>
        <v>13600</v>
      </c>
      <c r="O3" s="2">
        <f>J3-N3</f>
        <v>58400</v>
      </c>
    </row>
    <row r="4" spans="1:15" x14ac:dyDescent="0.25">
      <c r="A4">
        <v>1002</v>
      </c>
      <c r="B4" s="1">
        <v>50000</v>
      </c>
      <c r="C4" s="1">
        <f t="shared" ref="C4:C7" si="1">B4/200</f>
        <v>250</v>
      </c>
      <c r="D4">
        <v>5</v>
      </c>
      <c r="E4">
        <v>0</v>
      </c>
      <c r="F4" s="2">
        <f t="shared" ref="F4:F7" si="2">C4*D4*1.5+C4*E4*2</f>
        <v>1875</v>
      </c>
      <c r="G4" s="1">
        <v>12000</v>
      </c>
      <c r="H4" s="1">
        <v>4000</v>
      </c>
      <c r="I4" s="2">
        <f t="shared" ref="I4:I7" si="3">B4+F4+G4</f>
        <v>63875</v>
      </c>
      <c r="J4" s="2">
        <f t="shared" ref="J4:J7" si="4">H4+I4</f>
        <v>67875</v>
      </c>
      <c r="K4" s="2">
        <f t="shared" ref="K4:M7" si="5">$I4*K$1</f>
        <v>7026.25</v>
      </c>
      <c r="L4" s="2">
        <f t="shared" si="5"/>
        <v>3832.5</v>
      </c>
      <c r="M4" s="2">
        <f t="shared" si="5"/>
        <v>1916.25</v>
      </c>
      <c r="N4" s="2">
        <f t="shared" ref="N4:N7" si="6">SUM(K4:M4)</f>
        <v>12775</v>
      </c>
      <c r="O4" s="2">
        <f t="shared" ref="O4:O7" si="7">J4-N4</f>
        <v>55100</v>
      </c>
    </row>
    <row r="5" spans="1:15" x14ac:dyDescent="0.25">
      <c r="A5">
        <v>1003</v>
      </c>
      <c r="B5" s="1">
        <v>50000</v>
      </c>
      <c r="C5" s="1">
        <f t="shared" si="1"/>
        <v>250</v>
      </c>
      <c r="D5">
        <v>0</v>
      </c>
      <c r="E5">
        <v>0</v>
      </c>
      <c r="F5" s="2">
        <f t="shared" si="2"/>
        <v>0</v>
      </c>
      <c r="G5" s="1">
        <v>12000</v>
      </c>
      <c r="H5" s="1">
        <v>4000</v>
      </c>
      <c r="I5" s="2">
        <f t="shared" si="3"/>
        <v>62000</v>
      </c>
      <c r="J5" s="2">
        <f t="shared" si="4"/>
        <v>66000</v>
      </c>
      <c r="K5" s="2">
        <f t="shared" si="5"/>
        <v>6820</v>
      </c>
      <c r="L5" s="2">
        <f t="shared" si="5"/>
        <v>3720</v>
      </c>
      <c r="M5" s="2">
        <f t="shared" si="5"/>
        <v>1860</v>
      </c>
      <c r="N5" s="2">
        <f t="shared" si="6"/>
        <v>12400</v>
      </c>
      <c r="O5" s="2">
        <f t="shared" si="7"/>
        <v>53600</v>
      </c>
    </row>
    <row r="6" spans="1:15" x14ac:dyDescent="0.25">
      <c r="A6">
        <v>1004</v>
      </c>
      <c r="B6" s="1">
        <v>50000</v>
      </c>
      <c r="C6" s="1">
        <f t="shared" si="1"/>
        <v>250</v>
      </c>
      <c r="D6">
        <v>0</v>
      </c>
      <c r="E6">
        <v>2</v>
      </c>
      <c r="F6" s="2">
        <f t="shared" si="2"/>
        <v>1000</v>
      </c>
      <c r="G6" s="1">
        <v>12000</v>
      </c>
      <c r="H6" s="1">
        <v>4000</v>
      </c>
      <c r="I6" s="2">
        <f t="shared" si="3"/>
        <v>63000</v>
      </c>
      <c r="J6" s="2">
        <f t="shared" si="4"/>
        <v>67000</v>
      </c>
      <c r="K6" s="2">
        <f t="shared" si="5"/>
        <v>6930</v>
      </c>
      <c r="L6" s="2">
        <f t="shared" si="5"/>
        <v>3780</v>
      </c>
      <c r="M6" s="2">
        <f t="shared" si="5"/>
        <v>1890</v>
      </c>
      <c r="N6" s="2">
        <f t="shared" si="6"/>
        <v>12600</v>
      </c>
      <c r="O6" s="2">
        <f t="shared" si="7"/>
        <v>54400</v>
      </c>
    </row>
    <row r="7" spans="1:15" x14ac:dyDescent="0.25">
      <c r="A7">
        <v>1005</v>
      </c>
      <c r="B7" s="1">
        <v>50000</v>
      </c>
      <c r="C7" s="1">
        <f t="shared" si="1"/>
        <v>250</v>
      </c>
      <c r="D7">
        <v>40</v>
      </c>
      <c r="E7">
        <v>10</v>
      </c>
      <c r="F7" s="2">
        <f t="shared" si="2"/>
        <v>20000</v>
      </c>
      <c r="G7" s="1">
        <v>12000</v>
      </c>
      <c r="H7" s="1">
        <v>4000</v>
      </c>
      <c r="I7" s="2">
        <f t="shared" si="3"/>
        <v>82000</v>
      </c>
      <c r="J7" s="2">
        <f t="shared" si="4"/>
        <v>86000</v>
      </c>
      <c r="K7" s="2">
        <f t="shared" si="5"/>
        <v>9020</v>
      </c>
      <c r="L7" s="2">
        <f t="shared" si="5"/>
        <v>4920</v>
      </c>
      <c r="M7" s="2">
        <f t="shared" si="5"/>
        <v>2460</v>
      </c>
      <c r="N7" s="2">
        <f t="shared" si="6"/>
        <v>16400</v>
      </c>
      <c r="O7" s="2">
        <f t="shared" si="7"/>
        <v>69600</v>
      </c>
    </row>
    <row r="8" spans="1:15" x14ac:dyDescent="0.25">
      <c r="N8" s="5" t="s">
        <v>28</v>
      </c>
      <c r="O8" s="6">
        <f>SUM(O3:O7)</f>
        <v>291100</v>
      </c>
    </row>
    <row r="11" spans="1:15" x14ac:dyDescent="0.25">
      <c r="K11" t="s">
        <v>23</v>
      </c>
    </row>
    <row r="12" spans="1:15" x14ac:dyDescent="0.25">
      <c r="B12" t="s">
        <v>12</v>
      </c>
      <c r="K12" t="s">
        <v>20</v>
      </c>
      <c r="L12" t="s">
        <v>21</v>
      </c>
      <c r="M12" t="s">
        <v>22</v>
      </c>
    </row>
    <row r="13" spans="1:15" x14ac:dyDescent="0.25">
      <c r="B13" t="s">
        <v>10</v>
      </c>
      <c r="D13" s="2">
        <f>C3*(D3*1.5+E3*2)</f>
        <v>6000</v>
      </c>
      <c r="E13" t="s">
        <v>11</v>
      </c>
    </row>
    <row r="14" spans="1:15" x14ac:dyDescent="0.25">
      <c r="D14" s="2">
        <f>C4*(D4*1.5+E4*2)</f>
        <v>1875</v>
      </c>
      <c r="K14" t="s">
        <v>24</v>
      </c>
    </row>
    <row r="15" spans="1:15" x14ac:dyDescent="0.25">
      <c r="D15" s="2">
        <f>C5*(D5*1.5+E5*2)</f>
        <v>0</v>
      </c>
      <c r="K15" t="s">
        <v>25</v>
      </c>
    </row>
    <row r="16" spans="1:15" x14ac:dyDescent="0.25">
      <c r="D16" s="2">
        <f>C6*(D6*1.5+E6*2)</f>
        <v>1000</v>
      </c>
    </row>
    <row r="17" spans="4:4" x14ac:dyDescent="0.25">
      <c r="D17" s="2">
        <f>C7*(D7*1.5+E7*2)</f>
        <v>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31FF-4D49-4BF8-8ACB-C486181DC146}">
  <sheetPr>
    <tabColor rgb="FFFFC000"/>
  </sheetPr>
  <dimension ref="A1:F16"/>
  <sheetViews>
    <sheetView tabSelected="1" zoomScale="150" zoomScaleNormal="150" workbookViewId="0">
      <selection activeCell="F12" sqref="F12"/>
    </sheetView>
  </sheetViews>
  <sheetFormatPr baseColWidth="10" defaultRowHeight="15" x14ac:dyDescent="0.25"/>
  <cols>
    <col min="1" max="1" width="8.5703125" customWidth="1"/>
    <col min="2" max="2" width="12.42578125" bestFit="1" customWidth="1"/>
    <col min="3" max="3" width="7.85546875" bestFit="1" customWidth="1"/>
    <col min="4" max="4" width="10.28515625" bestFit="1" customWidth="1"/>
    <col min="5" max="5" width="10.7109375" customWidth="1"/>
    <col min="6" max="6" width="13.140625" customWidth="1"/>
  </cols>
  <sheetData>
    <row r="1" spans="1:6" s="3" customFormat="1" ht="30" customHeight="1" x14ac:dyDescent="0.25">
      <c r="A1" s="16" t="s">
        <v>37</v>
      </c>
      <c r="B1" s="17" t="s">
        <v>29</v>
      </c>
      <c r="C1" s="17" t="s">
        <v>30</v>
      </c>
      <c r="D1" s="17" t="s">
        <v>31</v>
      </c>
      <c r="E1" s="18" t="s">
        <v>32</v>
      </c>
      <c r="F1" s="18" t="s">
        <v>38</v>
      </c>
    </row>
    <row r="2" spans="1:6" x14ac:dyDescent="0.25">
      <c r="A2" s="10" t="s">
        <v>33</v>
      </c>
      <c r="B2" s="8">
        <v>5</v>
      </c>
      <c r="C2" s="8">
        <v>5</v>
      </c>
      <c r="D2" s="8">
        <v>9</v>
      </c>
      <c r="E2" s="11">
        <f>AVERAGE(B2:D2)</f>
        <v>6.333333333333333</v>
      </c>
      <c r="F2" s="11" t="str">
        <f>IF(E2&gt;=7,"Aprobado","Desaprobado")</f>
        <v>Desaprobado</v>
      </c>
    </row>
    <row r="3" spans="1:6" x14ac:dyDescent="0.25">
      <c r="A3" s="12" t="s">
        <v>34</v>
      </c>
      <c r="B3" s="7">
        <v>6</v>
      </c>
      <c r="C3" s="7">
        <v>3</v>
      </c>
      <c r="D3" s="7">
        <v>9</v>
      </c>
      <c r="E3" s="13">
        <f t="shared" ref="E3:E5" si="0">AVERAGE(B3:D3)</f>
        <v>6</v>
      </c>
      <c r="F3" s="11" t="str">
        <f t="shared" ref="F3:F5" si="1">IF(E3&gt;=7,"Aprobado","Desaprobado")</f>
        <v>Desaprobado</v>
      </c>
    </row>
    <row r="4" spans="1:6" x14ac:dyDescent="0.25">
      <c r="A4" s="10" t="s">
        <v>35</v>
      </c>
      <c r="B4" s="8">
        <v>7</v>
      </c>
      <c r="C4" s="8">
        <v>8</v>
      </c>
      <c r="D4" s="8">
        <v>10</v>
      </c>
      <c r="E4" s="11">
        <f t="shared" si="0"/>
        <v>8.3333333333333339</v>
      </c>
      <c r="F4" s="11" t="str">
        <f t="shared" si="1"/>
        <v>Aprobado</v>
      </c>
    </row>
    <row r="5" spans="1:6" ht="15.75" thickBot="1" x14ac:dyDescent="0.3">
      <c r="A5" s="14" t="s">
        <v>36</v>
      </c>
      <c r="B5" s="9">
        <v>6</v>
      </c>
      <c r="C5" s="9">
        <v>10</v>
      </c>
      <c r="D5" s="9">
        <v>5</v>
      </c>
      <c r="E5" s="15">
        <f t="shared" si="0"/>
        <v>7</v>
      </c>
      <c r="F5" s="11" t="str">
        <f t="shared" si="1"/>
        <v>Aprobado</v>
      </c>
    </row>
    <row r="9" spans="1:6" x14ac:dyDescent="0.25">
      <c r="A9" t="s">
        <v>39</v>
      </c>
    </row>
    <row r="13" spans="1:6" x14ac:dyDescent="0.25">
      <c r="A13" t="s">
        <v>40</v>
      </c>
    </row>
    <row r="16" spans="1:6" x14ac:dyDescent="0.25">
      <c r="A16" t="s">
        <v>41</v>
      </c>
    </row>
  </sheetData>
  <conditionalFormatting sqref="F1:F5">
    <cfRule type="cellIs" dxfId="2" priority="2" operator="equal">
      <formula>"Aprobado"</formula>
    </cfRule>
    <cfRule type="cellIs" dxfId="1" priority="1" operator="equal">
      <formula>"Desaprobado"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Referencias Mixtas</vt:lpstr>
      <vt:lpstr>Liquidación de sueldos</vt:lpstr>
      <vt:lpstr>Formula Condicional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2022-05-11T13:23:19Z</dcterms:created>
  <dcterms:modified xsi:type="dcterms:W3CDTF">2022-05-11T14:54:23Z</dcterms:modified>
</cp:coreProperties>
</file>
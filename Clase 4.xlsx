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Z:\Excel\"/>
    </mc:Choice>
  </mc:AlternateContent>
  <xr:revisionPtr revIDLastSave="0" documentId="13_ncr:1_{CAB2CD16-7E1C-4D7A-8281-26190D9BEAF5}" xr6:coauthVersionLast="47" xr6:coauthVersionMax="47" xr10:uidLastSave="{00000000-0000-0000-0000-000000000000}"/>
  <bookViews>
    <workbookView xWindow="-120" yWindow="-120" windowWidth="17520" windowHeight="12600" xr2:uid="{527D7A75-B371-4328-A863-92A6BCE14D8C}"/>
  </bookViews>
  <sheets>
    <sheet name="Liquidación de sueldos" sheetId="2" r:id="rId1"/>
    <sheet name="Hoja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7" i="2" l="1"/>
  <c r="C6" i="2"/>
  <c r="C5" i="2"/>
  <c r="C4" i="2"/>
  <c r="C3" i="2"/>
  <c r="F3" i="2" l="1"/>
  <c r="L3" i="2" s="1"/>
  <c r="F4" i="2"/>
  <c r="L4" i="2" s="1"/>
  <c r="F5" i="2"/>
  <c r="L5" i="2" s="1"/>
  <c r="F6" i="2"/>
  <c r="L6" i="2" s="1"/>
  <c r="F7" i="2"/>
  <c r="L7" i="2" s="1"/>
  <c r="P7" i="2" l="1"/>
  <c r="O7" i="2"/>
  <c r="N7" i="2"/>
  <c r="Q7" i="2" s="1"/>
  <c r="M7" i="2"/>
  <c r="R7" i="2" s="1"/>
  <c r="P6" i="2"/>
  <c r="O6" i="2"/>
  <c r="N6" i="2"/>
  <c r="Q6" i="2" s="1"/>
  <c r="M6" i="2"/>
  <c r="R6" i="2" s="1"/>
  <c r="P5" i="2"/>
  <c r="O5" i="2"/>
  <c r="N5" i="2"/>
  <c r="Q5" i="2" s="1"/>
  <c r="M5" i="2"/>
  <c r="R5" i="2" s="1"/>
  <c r="P4" i="2"/>
  <c r="O4" i="2"/>
  <c r="N4" i="2"/>
  <c r="Q4" i="2" s="1"/>
  <c r="M4" i="2"/>
  <c r="R4" i="2" s="1"/>
  <c r="P3" i="2"/>
  <c r="O3" i="2"/>
  <c r="N3" i="2"/>
  <c r="Q3" i="2" s="1"/>
  <c r="M3" i="2"/>
  <c r="R3" i="2" s="1"/>
  <c r="R8" i="2" s="1"/>
</calcChain>
</file>

<file path=xl/sharedStrings.xml><?xml version="1.0" encoding="utf-8"?>
<sst xmlns="http://schemas.openxmlformats.org/spreadsheetml/2006/main" count="29" uniqueCount="21">
  <si>
    <t>Legajo</t>
  </si>
  <si>
    <t>Sueldo Básico</t>
  </si>
  <si>
    <t>Valor Hora</t>
  </si>
  <si>
    <t>Horas Extras Simples</t>
  </si>
  <si>
    <t xml:space="preserve">Horas Extras Dobles </t>
  </si>
  <si>
    <t>Total $ Horas Extras</t>
  </si>
  <si>
    <t>Suma Remunerativa</t>
  </si>
  <si>
    <t>Suma No Remunerativa</t>
  </si>
  <si>
    <t>Total Remunerativo</t>
  </si>
  <si>
    <t>Sueldo Bruto</t>
  </si>
  <si>
    <t>Jubilación</t>
  </si>
  <si>
    <t>Obra Social</t>
  </si>
  <si>
    <t>Aporte Sindical</t>
  </si>
  <si>
    <t>Total Descuentos</t>
  </si>
  <si>
    <t>Sueldo Neto</t>
  </si>
  <si>
    <t>Total:</t>
  </si>
  <si>
    <t>Hijos</t>
  </si>
  <si>
    <t>Conyugue</t>
  </si>
  <si>
    <t>SI</t>
  </si>
  <si>
    <t>NO</t>
  </si>
  <si>
    <t>Presentismo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</si>
</sst>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9" fontId="0" fillId="0" borderId="0" xfId="0" applyNumberFormat="1"/>
    <xf numFmtId="0" fontId="0" fillId="0" borderId="0" xfId="0" applyAlignment="1">
      <alignment horizontal="center" vertical="center" wrapText="1"/>
    </xf>
    <xf numFmtId="44" fontId="0" fillId="0" borderId="0" xfId="1" applyFont="1"/>
    <xf numFmtId="44" fontId="0" fillId="0" borderId="0" xfId="0" applyNumberFormat="1"/>
    <xf numFmtId="0" fontId="2" fillId="0" borderId="0" xfId="0" applyFont="1"/>
    <xf numFmtId="44" fontId="2" fillId="0" borderId="0" xfId="0" applyNumberFormat="1" applyFont="1"/>
    <xf numFmtId="0" fontId="0" fillId="0" borderId="0" xfId="0" applyNumberFormat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408F0-8305-43D8-8847-5A120BA59120}">
  <sheetPr>
    <tabColor rgb="FFFFC000"/>
  </sheetPr>
  <dimension ref="A1:R17"/>
  <sheetViews>
    <sheetView tabSelected="1" zoomScale="110" zoomScaleNormal="110" workbookViewId="0">
      <selection activeCell="A8" sqref="A8"/>
    </sheetView>
  </sheetViews>
  <sheetFormatPr baseColWidth="10" defaultRowHeight="15" x14ac:dyDescent="0.25"/>
  <cols>
    <col min="1" max="1" width="6.7109375" bestFit="1" customWidth="1"/>
    <col min="2" max="2" width="11.85546875" customWidth="1"/>
    <col min="3" max="3" width="9.85546875" customWidth="1"/>
    <col min="4" max="4" width="12.140625" customWidth="1"/>
    <col min="6" max="9" width="12" customWidth="1"/>
    <col min="10" max="10" width="13.140625" customWidth="1"/>
    <col min="11" max="11" width="13.85546875" customWidth="1"/>
    <col min="12" max="12" width="13.28515625" customWidth="1"/>
    <col min="13" max="13" width="12.140625" bestFit="1" customWidth="1"/>
    <col min="17" max="17" width="11.85546875" customWidth="1"/>
    <col min="18" max="18" width="13.140625" bestFit="1" customWidth="1"/>
  </cols>
  <sheetData>
    <row r="1" spans="1:18" x14ac:dyDescent="0.25">
      <c r="D1" s="1">
        <v>0.5</v>
      </c>
      <c r="E1" s="1">
        <v>1</v>
      </c>
      <c r="G1" s="3">
        <v>350</v>
      </c>
      <c r="H1" s="3">
        <v>500</v>
      </c>
      <c r="I1" s="3">
        <v>4000</v>
      </c>
      <c r="N1" s="1">
        <v>0.11</v>
      </c>
      <c r="O1" s="1">
        <v>0.06</v>
      </c>
      <c r="P1" s="1">
        <v>0.03</v>
      </c>
    </row>
    <row r="2" spans="1:18" s="2" customFormat="1" ht="29.25" customHeigh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16</v>
      </c>
      <c r="H2" s="2" t="s">
        <v>17</v>
      </c>
      <c r="I2" s="2" t="s">
        <v>20</v>
      </c>
      <c r="J2" s="2" t="s">
        <v>6</v>
      </c>
      <c r="K2" s="2" t="s">
        <v>7</v>
      </c>
      <c r="L2" s="2" t="s">
        <v>8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</row>
    <row r="3" spans="1:18" x14ac:dyDescent="0.25">
      <c r="A3">
        <v>1001</v>
      </c>
      <c r="B3" s="3">
        <v>50000</v>
      </c>
      <c r="C3" s="3">
        <f>B3/200</f>
        <v>250</v>
      </c>
      <c r="D3">
        <v>12</v>
      </c>
      <c r="E3">
        <v>3</v>
      </c>
      <c r="F3" s="4">
        <f>C3*D3*1.5+C3*E3*2</f>
        <v>6000</v>
      </c>
      <c r="G3" s="7">
        <v>3</v>
      </c>
      <c r="H3" s="7" t="s">
        <v>18</v>
      </c>
      <c r="I3" s="7" t="s">
        <v>18</v>
      </c>
      <c r="J3" s="3">
        <v>12000</v>
      </c>
      <c r="K3" s="3">
        <v>4000</v>
      </c>
      <c r="L3" s="4">
        <f>B3+F3+J3</f>
        <v>68000</v>
      </c>
      <c r="M3" s="4">
        <f>K3+L3</f>
        <v>72000</v>
      </c>
      <c r="N3" s="4">
        <f>$L3*N$1</f>
        <v>7480</v>
      </c>
      <c r="O3" s="4">
        <f t="shared" ref="O3:P3" si="0">$L3*O$1</f>
        <v>4080</v>
      </c>
      <c r="P3" s="4">
        <f t="shared" si="0"/>
        <v>2040</v>
      </c>
      <c r="Q3" s="4">
        <f>SUM(N3:P3)</f>
        <v>13600</v>
      </c>
      <c r="R3" s="4">
        <f>M3-Q3</f>
        <v>58400</v>
      </c>
    </row>
    <row r="4" spans="1:18" x14ac:dyDescent="0.25">
      <c r="A4">
        <v>1002</v>
      </c>
      <c r="B4" s="3">
        <v>50000</v>
      </c>
      <c r="C4" s="3">
        <f t="shared" ref="C4:C7" si="1">B4/200</f>
        <v>250</v>
      </c>
      <c r="D4">
        <v>5</v>
      </c>
      <c r="E4">
        <v>0</v>
      </c>
      <c r="F4" s="4">
        <f t="shared" ref="F4:F7" si="2">C4*D4*1.5+C4*E4*2</f>
        <v>1875</v>
      </c>
      <c r="G4" s="7">
        <v>2</v>
      </c>
      <c r="H4" s="7" t="s">
        <v>19</v>
      </c>
      <c r="I4" s="7" t="s">
        <v>18</v>
      </c>
      <c r="J4" s="3">
        <v>12000</v>
      </c>
      <c r="K4" s="3">
        <v>4000</v>
      </c>
      <c r="L4" s="4">
        <f t="shared" ref="L4:L7" si="3">B4+F4+J4</f>
        <v>63875</v>
      </c>
      <c r="M4" s="4">
        <f t="shared" ref="M4:M7" si="4">K4+L4</f>
        <v>67875</v>
      </c>
      <c r="N4" s="4">
        <f t="shared" ref="N4:P7" si="5">$L4*N$1</f>
        <v>7026.25</v>
      </c>
      <c r="O4" s="4">
        <f t="shared" si="5"/>
        <v>3832.5</v>
      </c>
      <c r="P4" s="4">
        <f t="shared" si="5"/>
        <v>1916.25</v>
      </c>
      <c r="Q4" s="4">
        <f t="shared" ref="Q4:Q7" si="6">SUM(N4:P4)</f>
        <v>12775</v>
      </c>
      <c r="R4" s="4">
        <f t="shared" ref="R4:R7" si="7">M4-Q4</f>
        <v>55100</v>
      </c>
    </row>
    <row r="5" spans="1:18" x14ac:dyDescent="0.25">
      <c r="A5">
        <v>1003</v>
      </c>
      <c r="B5" s="3">
        <v>50000</v>
      </c>
      <c r="C5" s="3">
        <f t="shared" si="1"/>
        <v>250</v>
      </c>
      <c r="D5">
        <v>0</v>
      </c>
      <c r="E5">
        <v>0</v>
      </c>
      <c r="F5" s="4">
        <f t="shared" si="2"/>
        <v>0</v>
      </c>
      <c r="G5" s="7">
        <v>0</v>
      </c>
      <c r="H5" s="7" t="s">
        <v>18</v>
      </c>
      <c r="I5" s="7" t="s">
        <v>19</v>
      </c>
      <c r="J5" s="3">
        <v>12000</v>
      </c>
      <c r="K5" s="3">
        <v>4000</v>
      </c>
      <c r="L5" s="4">
        <f t="shared" si="3"/>
        <v>62000</v>
      </c>
      <c r="M5" s="4">
        <f t="shared" si="4"/>
        <v>66000</v>
      </c>
      <c r="N5" s="4">
        <f t="shared" si="5"/>
        <v>6820</v>
      </c>
      <c r="O5" s="4">
        <f t="shared" si="5"/>
        <v>3720</v>
      </c>
      <c r="P5" s="4">
        <f t="shared" si="5"/>
        <v>1860</v>
      </c>
      <c r="Q5" s="4">
        <f t="shared" si="6"/>
        <v>12400</v>
      </c>
      <c r="R5" s="4">
        <f t="shared" si="7"/>
        <v>53600</v>
      </c>
    </row>
    <row r="6" spans="1:18" x14ac:dyDescent="0.25">
      <c r="A6">
        <v>1004</v>
      </c>
      <c r="B6" s="3">
        <v>50000</v>
      </c>
      <c r="C6" s="3">
        <f t="shared" si="1"/>
        <v>250</v>
      </c>
      <c r="D6">
        <v>0</v>
      </c>
      <c r="E6">
        <v>2</v>
      </c>
      <c r="F6" s="4">
        <f t="shared" si="2"/>
        <v>1000</v>
      </c>
      <c r="G6" s="7">
        <v>1</v>
      </c>
      <c r="H6" s="7" t="s">
        <v>19</v>
      </c>
      <c r="I6" s="7" t="s">
        <v>19</v>
      </c>
      <c r="J6" s="3">
        <v>12000</v>
      </c>
      <c r="K6" s="3">
        <v>4000</v>
      </c>
      <c r="L6" s="4">
        <f t="shared" si="3"/>
        <v>63000</v>
      </c>
      <c r="M6" s="4">
        <f t="shared" si="4"/>
        <v>67000</v>
      </c>
      <c r="N6" s="4">
        <f t="shared" si="5"/>
        <v>6930</v>
      </c>
      <c r="O6" s="4">
        <f t="shared" si="5"/>
        <v>3780</v>
      </c>
      <c r="P6" s="4">
        <f t="shared" si="5"/>
        <v>1890</v>
      </c>
      <c r="Q6" s="4">
        <f t="shared" si="6"/>
        <v>12600</v>
      </c>
      <c r="R6" s="4">
        <f t="shared" si="7"/>
        <v>54400</v>
      </c>
    </row>
    <row r="7" spans="1:18" x14ac:dyDescent="0.25">
      <c r="A7">
        <v>1005</v>
      </c>
      <c r="B7" s="3">
        <v>50000</v>
      </c>
      <c r="C7" s="3">
        <f t="shared" si="1"/>
        <v>250</v>
      </c>
      <c r="D7">
        <v>40</v>
      </c>
      <c r="E7">
        <v>10</v>
      </c>
      <c r="F7" s="4">
        <f t="shared" si="2"/>
        <v>20000</v>
      </c>
      <c r="G7" s="7">
        <v>1</v>
      </c>
      <c r="H7" s="7" t="s">
        <v>18</v>
      </c>
      <c r="I7" s="7" t="s">
        <v>18</v>
      </c>
      <c r="J7" s="3">
        <v>12000</v>
      </c>
      <c r="K7" s="3">
        <v>4000</v>
      </c>
      <c r="L7" s="4">
        <f t="shared" si="3"/>
        <v>82000</v>
      </c>
      <c r="M7" s="4">
        <f t="shared" si="4"/>
        <v>86000</v>
      </c>
      <c r="N7" s="4">
        <f t="shared" si="5"/>
        <v>9020</v>
      </c>
      <c r="O7" s="4">
        <f t="shared" si="5"/>
        <v>4920</v>
      </c>
      <c r="P7" s="4">
        <f t="shared" si="5"/>
        <v>2460</v>
      </c>
      <c r="Q7" s="4">
        <f t="shared" si="6"/>
        <v>16400</v>
      </c>
      <c r="R7" s="4">
        <f t="shared" si="7"/>
        <v>69600</v>
      </c>
    </row>
    <row r="8" spans="1:18" x14ac:dyDescent="0.25">
      <c r="Q8" s="5" t="s">
        <v>15</v>
      </c>
      <c r="R8" s="6">
        <f>SUM(R3:R7)</f>
        <v>291100</v>
      </c>
    </row>
    <row r="13" spans="1:18" x14ac:dyDescent="0.25">
      <c r="D13" s="4"/>
    </row>
    <row r="14" spans="1:18" x14ac:dyDescent="0.25">
      <c r="D14" s="4"/>
    </row>
    <row r="15" spans="1:18" x14ac:dyDescent="0.25">
      <c r="D15" s="4"/>
    </row>
    <row r="16" spans="1:18" x14ac:dyDescent="0.25">
      <c r="D16" s="4"/>
    </row>
    <row r="17" spans="4:4" x14ac:dyDescent="0.25">
      <c r="D17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A0364-462B-4941-877E-A434AC9E54E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Liquidación de sueldos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Intercrios</dc:creator>
  <cp:lastModifiedBy>Carlos Intercrios</cp:lastModifiedBy>
  <dcterms:created xsi:type="dcterms:W3CDTF">2022-05-16T13:06:38Z</dcterms:created>
  <dcterms:modified xsi:type="dcterms:W3CDTF">2022-05-16T13:11:40Z</dcterms:modified>
</cp:coreProperties>
</file>
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\"/>
    </mc:Choice>
  </mc:AlternateContent>
  <xr:revisionPtr revIDLastSave="0" documentId="13_ncr:1_{00762EC4-F6FD-4FA3-BB2E-1200C39C2E15}" xr6:coauthVersionLast="47" xr6:coauthVersionMax="47" xr10:uidLastSave="{00000000-0000-0000-0000-000000000000}"/>
  <bookViews>
    <workbookView xWindow="-120" yWindow="-120" windowWidth="17520" windowHeight="12600" firstSheet="2" activeTab="5" xr2:uid="{527D7A75-B371-4328-A863-92A6BCE14D8C}"/>
  </bookViews>
  <sheets>
    <sheet name="Liquidación de sueldos" sheetId="2" r:id="rId1"/>
    <sheet name="Cooperatica Electrica" sheetId="1" r:id="rId2"/>
    <sheet name="Formulas Fecha Hora" sheetId="3" r:id="rId3"/>
    <sheet name="Calculo de Fechas" sheetId="4" r:id="rId4"/>
    <sheet name="Bodega" sheetId="5" r:id="rId5"/>
    <sheet name="Hote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" i="2" l="1"/>
  <c r="E4" i="5"/>
  <c r="E5" i="5"/>
  <c r="E6" i="5"/>
  <c r="E3" i="5"/>
  <c r="D1" i="5"/>
  <c r="A1" i="4"/>
  <c r="E15" i="4" s="1"/>
  <c r="C5" i="3"/>
  <c r="C4" i="3"/>
  <c r="D23" i="3"/>
  <c r="D24" i="3"/>
  <c r="D25" i="3"/>
  <c r="D26" i="3"/>
  <c r="D22" i="3"/>
  <c r="A2" i="3"/>
  <c r="A10" i="3" s="1"/>
  <c r="A1" i="3"/>
  <c r="E7" i="3" s="1"/>
  <c r="L3" i="1"/>
  <c r="L4" i="1"/>
  <c r="L5" i="1"/>
  <c r="L6" i="1"/>
  <c r="L7" i="1"/>
  <c r="L8" i="1"/>
  <c r="K3" i="1"/>
  <c r="K4" i="1"/>
  <c r="K5" i="1"/>
  <c r="K6" i="1"/>
  <c r="K7" i="1"/>
  <c r="K8" i="1"/>
  <c r="J3" i="1"/>
  <c r="I3" i="1"/>
  <c r="H3" i="1"/>
  <c r="G3" i="1"/>
  <c r="D3" i="1"/>
  <c r="J4" i="1"/>
  <c r="J5" i="1"/>
  <c r="J6" i="1"/>
  <c r="J7" i="1"/>
  <c r="J8" i="1"/>
  <c r="I4" i="1"/>
  <c r="I5" i="1"/>
  <c r="I6" i="1"/>
  <c r="I7" i="1"/>
  <c r="I8" i="1"/>
  <c r="H4" i="1"/>
  <c r="H5" i="1"/>
  <c r="H6" i="1"/>
  <c r="H7" i="1"/>
  <c r="H8" i="1"/>
  <c r="G4" i="1"/>
  <c r="G5" i="1"/>
  <c r="G6" i="1"/>
  <c r="G7" i="1"/>
  <c r="G8" i="1"/>
  <c r="D4" i="1"/>
  <c r="D5" i="1"/>
  <c r="D6" i="1"/>
  <c r="D7" i="1"/>
  <c r="D8" i="1"/>
  <c r="C3" i="1"/>
  <c r="C4" i="1"/>
  <c r="C5" i="1"/>
  <c r="C6" i="1"/>
  <c r="C7" i="1"/>
  <c r="C8" i="1"/>
  <c r="P3" i="2"/>
  <c r="P4" i="2"/>
  <c r="P5" i="2"/>
  <c r="P6" i="2"/>
  <c r="P7" i="2"/>
  <c r="C7" i="2"/>
  <c r="C6" i="2"/>
  <c r="C5" i="2"/>
  <c r="C4" i="2"/>
  <c r="C3" i="2"/>
  <c r="F3" i="5" l="1"/>
  <c r="F4" i="5"/>
  <c r="F5" i="5"/>
  <c r="F6" i="5"/>
  <c r="C7" i="4"/>
  <c r="C8" i="4" s="1"/>
  <c r="C13" i="4" s="1"/>
  <c r="C15" i="4"/>
  <c r="E7" i="4"/>
  <c r="E8" i="4" s="1"/>
  <c r="E13" i="4" s="1"/>
  <c r="C3" i="4"/>
  <c r="C5" i="4" s="1"/>
  <c r="E3" i="4"/>
  <c r="E5" i="4" s="1"/>
  <c r="A6" i="3"/>
  <c r="A8" i="3"/>
  <c r="A9" i="3"/>
  <c r="A4" i="3"/>
  <c r="A5" i="3"/>
  <c r="F3" i="2"/>
  <c r="F4" i="2"/>
  <c r="O4" i="2" s="1"/>
  <c r="Q4" i="2" s="1"/>
  <c r="F5" i="2"/>
  <c r="O5" i="2" s="1"/>
  <c r="Q5" i="2" s="1"/>
  <c r="F6" i="2"/>
  <c r="O6" i="2" s="1"/>
  <c r="Q6" i="2" s="1"/>
  <c r="F7" i="2"/>
  <c r="O7" i="2" s="1"/>
  <c r="Q7" i="2" s="1"/>
  <c r="C12" i="4" l="1"/>
  <c r="C11" i="4"/>
  <c r="C10" i="4"/>
  <c r="O11" i="2"/>
  <c r="O3" i="2"/>
  <c r="Q3" i="2" s="1"/>
  <c r="T7" i="2"/>
  <c r="S7" i="2"/>
  <c r="R7" i="2"/>
  <c r="U7" i="2" s="1"/>
  <c r="V7" i="2"/>
  <c r="T6" i="2"/>
  <c r="S6" i="2"/>
  <c r="R6" i="2"/>
  <c r="U6" i="2" s="1"/>
  <c r="V6" i="2"/>
  <c r="T5" i="2"/>
  <c r="S5" i="2"/>
  <c r="R5" i="2"/>
  <c r="U5" i="2" s="1"/>
  <c r="V5" i="2"/>
  <c r="T4" i="2"/>
  <c r="S4" i="2"/>
  <c r="R4" i="2"/>
  <c r="U4" i="2" s="1"/>
  <c r="V4" i="2"/>
  <c r="T3" i="2"/>
  <c r="S3" i="2"/>
  <c r="R3" i="2"/>
  <c r="U3" i="2" s="1"/>
  <c r="V3" i="2" l="1"/>
  <c r="V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Intercrios</author>
  </authors>
  <commentList>
    <comment ref="G2" authorId="0" shapeId="0" xr:uid="{6F33BE15-2221-4759-91C8-BA5D1339F79D}">
      <text>
        <r>
          <rPr>
            <b/>
            <sz val="9"/>
            <color indexed="81"/>
            <rFont val="Tahoma"/>
            <family val="2"/>
          </rPr>
          <t>Carlos Intercrios:</t>
        </r>
        <r>
          <rPr>
            <sz val="9"/>
            <color indexed="81"/>
            <rFont val="Tahoma"/>
            <family val="2"/>
          </rPr>
          <t xml:space="preserve">
Suma no Remunerativa</t>
        </r>
      </text>
    </comment>
    <comment ref="H2" authorId="0" shapeId="0" xr:uid="{AFDE5702-27C2-43E1-BCC7-8EB5B1FA9675}">
      <text>
        <r>
          <rPr>
            <b/>
            <sz val="9"/>
            <color indexed="81"/>
            <rFont val="Tahoma"/>
            <family val="2"/>
          </rPr>
          <t>Carlos Intercrios:</t>
        </r>
        <r>
          <rPr>
            <sz val="9"/>
            <color indexed="81"/>
            <rFont val="Tahoma"/>
            <family val="2"/>
          </rPr>
          <t xml:space="preserve">
Suma no Remunerativa</t>
        </r>
      </text>
    </comment>
    <comment ref="I2" authorId="0" shapeId="0" xr:uid="{C2A4494A-0885-4ED8-8AF7-58E810F6DD9B}">
      <text>
        <r>
          <rPr>
            <b/>
            <sz val="9"/>
            <color indexed="81"/>
            <rFont val="Tahoma"/>
            <family val="2"/>
          </rPr>
          <t>Carlos Intercrios:</t>
        </r>
        <r>
          <rPr>
            <sz val="9"/>
            <color indexed="81"/>
            <rFont val="Tahoma"/>
            <family val="2"/>
          </rPr>
          <t xml:space="preserve">
Suma Remunerativa</t>
        </r>
      </text>
    </comment>
    <comment ref="L2" authorId="0" shapeId="0" xr:uid="{61D61C1F-D0C5-4EE4-899C-517E13C6ACDE}">
      <text>
        <r>
          <rPr>
            <b/>
            <sz val="9"/>
            <color indexed="81"/>
            <rFont val="Tahoma"/>
            <family val="2"/>
          </rPr>
          <t>Carlos Intercrios:</t>
        </r>
        <r>
          <rPr>
            <sz val="9"/>
            <color indexed="81"/>
            <rFont val="Tahoma"/>
            <family val="2"/>
          </rPr>
          <t xml:space="preserve">
Suma Remunerativa
</t>
        </r>
      </text>
    </comment>
  </commentList>
</comments>
</file>

<file path=xl/sharedStrings.xml><?xml version="1.0" encoding="utf-8"?>
<sst xmlns="http://schemas.openxmlformats.org/spreadsheetml/2006/main" count="119" uniqueCount="105">
  <si>
    <t>Legajo</t>
  </si>
  <si>
    <t>Sueldo Básico</t>
  </si>
  <si>
    <t>Valor Hora</t>
  </si>
  <si>
    <t>Horas Extras Simples</t>
  </si>
  <si>
    <t xml:space="preserve">Horas Extras Dobles </t>
  </si>
  <si>
    <t>Total $ Horas Extras</t>
  </si>
  <si>
    <t>Suma Remunerativa</t>
  </si>
  <si>
    <t>Suma No Remunerativa</t>
  </si>
  <si>
    <t>Total Remunerativo</t>
  </si>
  <si>
    <t>Sueldo Bruto</t>
  </si>
  <si>
    <t>Jubilación</t>
  </si>
  <si>
    <t>Obra Social</t>
  </si>
  <si>
    <t>Aporte Sindical</t>
  </si>
  <si>
    <t>Total Descuentos</t>
  </si>
  <si>
    <t>Sueldo Neto</t>
  </si>
  <si>
    <t>Total:</t>
  </si>
  <si>
    <t xml:space="preserve"> =I3*$K$1</t>
  </si>
  <si>
    <t>Hijos</t>
  </si>
  <si>
    <t>Conyugue</t>
  </si>
  <si>
    <t>SI</t>
  </si>
  <si>
    <t>NO</t>
  </si>
  <si>
    <t>Presentismo</t>
  </si>
  <si>
    <t>Presentismo: Si I3="SI": sumar 4000 sino suma 0</t>
  </si>
  <si>
    <t xml:space="preserve"> =B3+F3+J3+SI(I3="SI";$I$1;0)</t>
  </si>
  <si>
    <t xml:space="preserve"> =SI(I3="SI";B3+F3+J3+$I$1;B3+F3+J3)</t>
  </si>
  <si>
    <t>Total No Remunerativo</t>
  </si>
  <si>
    <t xml:space="preserve"> =K3+G3*$G$1+SI(H3="SI";$H$1;0)</t>
  </si>
  <si>
    <t>Clientes</t>
  </si>
  <si>
    <t>c01</t>
  </si>
  <si>
    <t>c02</t>
  </si>
  <si>
    <t>c03</t>
  </si>
  <si>
    <t>c04</t>
  </si>
  <si>
    <t>c05</t>
  </si>
  <si>
    <t>c06</t>
  </si>
  <si>
    <t>Tipo Cliente</t>
  </si>
  <si>
    <t>Residencial</t>
  </si>
  <si>
    <t>Comercial</t>
  </si>
  <si>
    <t>Abono Mensual</t>
  </si>
  <si>
    <t>Valor x KW</t>
  </si>
  <si>
    <t>Valor x KW: Si el clientes es Residencial paga 5$ sino 6$</t>
  </si>
  <si>
    <t>Abono Mensual: Si el clientes es Residencial paga $3500 sino $5000</t>
  </si>
  <si>
    <t>Medidor</t>
  </si>
  <si>
    <t>Estado Inicial</t>
  </si>
  <si>
    <t>Estado Final</t>
  </si>
  <si>
    <t>Cantidad de KWs</t>
  </si>
  <si>
    <t>Total $ KWS</t>
  </si>
  <si>
    <t>Subtotal</t>
  </si>
  <si>
    <t>IVA</t>
  </si>
  <si>
    <t>Impuestos Varios</t>
  </si>
  <si>
    <t>Total a pagar $</t>
  </si>
  <si>
    <t xml:space="preserve"> =SI(B3="Residencial";3500;5000)</t>
  </si>
  <si>
    <t xml:space="preserve"> =SI(B3="Residencial";5;6)</t>
  </si>
  <si>
    <t xml:space="preserve"> =F3-E3</t>
  </si>
  <si>
    <t xml:space="preserve"> =D3*G3</t>
  </si>
  <si>
    <t xml:space="preserve"> =C3+H3</t>
  </si>
  <si>
    <t xml:space="preserve"> =I3*$J$1</t>
  </si>
  <si>
    <t xml:space="preserve"> =I3+J3+K3</t>
  </si>
  <si>
    <t>ctrol ; atajo para fecha actual</t>
  </si>
  <si>
    <t>ctrol shift : atajo para hora actual</t>
  </si>
  <si>
    <t>Cochera</t>
  </si>
  <si>
    <t>Patente</t>
  </si>
  <si>
    <t>Hora Entrada</t>
  </si>
  <si>
    <t>Hora Salida</t>
  </si>
  <si>
    <t>Tiempo</t>
  </si>
  <si>
    <t>asd 234</t>
  </si>
  <si>
    <t>grg 234</t>
  </si>
  <si>
    <t>kkk 456</t>
  </si>
  <si>
    <t>Inicio de curso:</t>
  </si>
  <si>
    <t>C7=DIAS360(C1;A1)</t>
  </si>
  <si>
    <t>C8=C7/360</t>
  </si>
  <si>
    <t>R=ENTERO(C8)</t>
  </si>
  <si>
    <t>R=ENTERO(DIAS360(C1;A1)/360)</t>
  </si>
  <si>
    <t>Tipo</t>
  </si>
  <si>
    <t>Malbec</t>
  </si>
  <si>
    <t>Torrontes</t>
  </si>
  <si>
    <t>Cabernet</t>
  </si>
  <si>
    <t>Espumante</t>
  </si>
  <si>
    <t>Cantidad Litros</t>
  </si>
  <si>
    <t>Valor x Litro</t>
  </si>
  <si>
    <t>Fecha Cosecha</t>
  </si>
  <si>
    <t>Valor $</t>
  </si>
  <si>
    <t>Antigüedad</t>
  </si>
  <si>
    <t>Antigüedad en años</t>
  </si>
  <si>
    <t>C1=Fecha inicial</t>
  </si>
  <si>
    <t>A1=Fecha actual</t>
  </si>
  <si>
    <t>Fecha Ingreso</t>
  </si>
  <si>
    <t>Plus x Antigüedad</t>
  </si>
  <si>
    <t>Pendiente terminar antigüedad Relación laboral</t>
  </si>
  <si>
    <t>Pendiente terminar hotel turistico</t>
  </si>
  <si>
    <t>Pasajeros</t>
  </si>
  <si>
    <t>P01</t>
  </si>
  <si>
    <t>P02</t>
  </si>
  <si>
    <t>P03</t>
  </si>
  <si>
    <t>P04</t>
  </si>
  <si>
    <t>P05</t>
  </si>
  <si>
    <t>P06</t>
  </si>
  <si>
    <t>P07</t>
  </si>
  <si>
    <t>Check In</t>
  </si>
  <si>
    <t>Check out</t>
  </si>
  <si>
    <t>Cantidad Noches</t>
  </si>
  <si>
    <t>Resto</t>
  </si>
  <si>
    <t>Frigo Bar</t>
  </si>
  <si>
    <t>Extras</t>
  </si>
  <si>
    <t>Total a pagar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</si>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</sst>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vertical="center" wrapText="1"/>
    </xf>
    <xf numFmtId="44" fontId="0" fillId="0" borderId="0" xfId="1" applyFont="1"/>
    <xf numFmtId="44" fontId="0" fillId="0" borderId="0" xfId="0" applyNumberFormat="1"/>
    <xf numFmtId="0" fontId="2" fillId="0" borderId="0" xfId="0" applyFont="1"/>
    <xf numFmtId="44" fontId="2" fillId="0" borderId="0" xfId="0" applyNumberFormat="1" applyFont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9" fontId="0" fillId="0" borderId="9" xfId="0" applyNumberFormat="1" applyBorder="1"/>
    <xf numFmtId="0" fontId="0" fillId="0" borderId="10" xfId="0" applyBorder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44" fontId="0" fillId="0" borderId="6" xfId="1" applyFont="1" applyBorder="1"/>
    <xf numFmtId="44" fontId="0" fillId="0" borderId="6" xfId="0" applyNumberFormat="1" applyBorder="1"/>
    <xf numFmtId="44" fontId="0" fillId="0" borderId="7" xfId="0" applyNumberFormat="1" applyBorder="1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1" applyNumberFormat="1" applyFont="1"/>
    <xf numFmtId="9" fontId="0" fillId="0" borderId="0" xfId="1" applyNumberFormat="1" applyFont="1"/>
    <xf numFmtId="14" fontId="0" fillId="2" borderId="0" xfId="0" applyNumberFormat="1" applyFill="1"/>
    <xf numFmtId="0" fontId="0" fillId="3" borderId="0" xfId="0" applyFill="1"/>
    <xf numFmtId="0" fontId="0" fillId="2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08F0-8305-43D8-8847-5A120BA59120}">
  <sheetPr>
    <tabColor rgb="FFFFC000"/>
  </sheetPr>
  <dimension ref="A1:V17"/>
  <sheetViews>
    <sheetView topLeftCell="C1" zoomScale="110" zoomScaleNormal="110" workbookViewId="0">
      <selection activeCell="K3" sqref="K3:L7"/>
    </sheetView>
  </sheetViews>
  <sheetFormatPr baseColWidth="10" defaultRowHeight="15" x14ac:dyDescent="0.25"/>
  <cols>
    <col min="1" max="1" width="6.7109375" bestFit="1" customWidth="1"/>
    <col min="2" max="2" width="11.85546875" customWidth="1"/>
    <col min="3" max="3" width="9.85546875" customWidth="1"/>
    <col min="4" max="4" width="12.140625" customWidth="1"/>
    <col min="6" max="10" width="12" customWidth="1"/>
    <col min="11" max="11" width="10.42578125" customWidth="1"/>
    <col min="12" max="12" width="11.42578125" customWidth="1"/>
    <col min="13" max="13" width="13.140625" customWidth="1"/>
    <col min="14" max="14" width="13.85546875" customWidth="1"/>
    <col min="15" max="16" width="13.28515625" customWidth="1"/>
    <col min="17" max="17" width="12.140625" bestFit="1" customWidth="1"/>
    <col min="21" max="21" width="11.85546875" customWidth="1"/>
    <col min="22" max="22" width="13.140625" bestFit="1" customWidth="1"/>
  </cols>
  <sheetData>
    <row r="1" spans="1:22" x14ac:dyDescent="0.25">
      <c r="D1" s="1">
        <v>0.5</v>
      </c>
      <c r="E1" s="1">
        <v>1</v>
      </c>
      <c r="G1" s="3">
        <v>350</v>
      </c>
      <c r="H1" s="3">
        <v>500</v>
      </c>
      <c r="I1" s="3">
        <v>4000</v>
      </c>
      <c r="J1" s="32">
        <f ca="1">TODAY()</f>
        <v>44697</v>
      </c>
      <c r="K1" s="32"/>
      <c r="L1" s="33">
        <v>0.01</v>
      </c>
      <c r="R1" s="1">
        <v>0.11</v>
      </c>
      <c r="S1" s="1">
        <v>0.06</v>
      </c>
      <c r="T1" s="1">
        <v>0.03</v>
      </c>
    </row>
    <row r="2" spans="1:22" s="2" customFormat="1" ht="29.2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17</v>
      </c>
      <c r="H2" s="2" t="s">
        <v>18</v>
      </c>
      <c r="I2" s="2" t="s">
        <v>21</v>
      </c>
      <c r="J2" s="2" t="s">
        <v>85</v>
      </c>
      <c r="K2" s="2" t="s">
        <v>81</v>
      </c>
      <c r="L2" s="2" t="s">
        <v>86</v>
      </c>
      <c r="M2" s="2" t="s">
        <v>6</v>
      </c>
      <c r="N2" s="2" t="s">
        <v>7</v>
      </c>
      <c r="O2" s="2" t="s">
        <v>8</v>
      </c>
      <c r="P2" s="2" t="s">
        <v>25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1:22" x14ac:dyDescent="0.25">
      <c r="A3">
        <v>1001</v>
      </c>
      <c r="B3" s="3">
        <v>50000</v>
      </c>
      <c r="C3" s="3">
        <f>B3/200</f>
        <v>250</v>
      </c>
      <c r="D3">
        <v>12</v>
      </c>
      <c r="E3">
        <v>3</v>
      </c>
      <c r="F3" s="4">
        <f>C3*D3*1.5+C3*E3*2</f>
        <v>6000</v>
      </c>
      <c r="G3" s="7">
        <v>3</v>
      </c>
      <c r="H3" s="7" t="s">
        <v>19</v>
      </c>
      <c r="I3" s="7" t="s">
        <v>19</v>
      </c>
      <c r="J3" s="29">
        <v>38509</v>
      </c>
      <c r="K3" s="34"/>
      <c r="L3" s="34"/>
      <c r="M3" s="3">
        <v>12000</v>
      </c>
      <c r="N3" s="3">
        <v>4000</v>
      </c>
      <c r="O3" s="4">
        <f>B3+F3+M3+IF(I3="SI",$I$1,0)</f>
        <v>72000</v>
      </c>
      <c r="P3" s="4">
        <f>N3+G3*$G$1+IF(H3="SI",$H$1,0)</f>
        <v>5550</v>
      </c>
      <c r="Q3" s="4">
        <f>O3+P3</f>
        <v>77550</v>
      </c>
      <c r="R3" s="4">
        <f>$O3*R$1</f>
        <v>7920</v>
      </c>
      <c r="S3" s="4">
        <f t="shared" ref="S3:T3" si="0">$O3*S$1</f>
        <v>4320</v>
      </c>
      <c r="T3" s="4">
        <f t="shared" si="0"/>
        <v>2160</v>
      </c>
      <c r="U3" s="4">
        <f>SUM(R3:T3)</f>
        <v>14400</v>
      </c>
      <c r="V3" s="4">
        <f>Q3-U3</f>
        <v>63150</v>
      </c>
    </row>
    <row r="4" spans="1:22" x14ac:dyDescent="0.25">
      <c r="A4">
        <v>1002</v>
      </c>
      <c r="B4" s="3">
        <v>50000</v>
      </c>
      <c r="C4" s="3">
        <f t="shared" ref="C4:C7" si="1">B4/200</f>
        <v>250</v>
      </c>
      <c r="D4">
        <v>5</v>
      </c>
      <c r="E4">
        <v>0</v>
      </c>
      <c r="F4" s="4">
        <f t="shared" ref="F4:F7" si="2">C4*D4*1.5+C4*E4*2</f>
        <v>1875</v>
      </c>
      <c r="G4" s="7">
        <v>2</v>
      </c>
      <c r="H4" s="7" t="s">
        <v>20</v>
      </c>
      <c r="I4" s="7" t="s">
        <v>19</v>
      </c>
      <c r="J4" s="29">
        <v>38969</v>
      </c>
      <c r="K4" s="34"/>
      <c r="L4" s="34"/>
      <c r="M4" s="3">
        <v>12000</v>
      </c>
      <c r="N4" s="3">
        <v>4000</v>
      </c>
      <c r="O4" s="4">
        <f t="shared" ref="O4:O7" si="3">B4+F4+M4+IF(I4="SI",$I$1,0)</f>
        <v>67875</v>
      </c>
      <c r="P4" s="4">
        <f t="shared" ref="P4:P7" si="4">N4+G4*$G$1+IF(H4="SI",$H$1,0)</f>
        <v>4700</v>
      </c>
      <c r="Q4" s="4">
        <f t="shared" ref="Q4:Q7" si="5">O4+P4</f>
        <v>72575</v>
      </c>
      <c r="R4" s="4">
        <f t="shared" ref="R4:T7" si="6">$O4*R$1</f>
        <v>7466.25</v>
      </c>
      <c r="S4" s="4">
        <f t="shared" si="6"/>
        <v>4072.5</v>
      </c>
      <c r="T4" s="4">
        <f t="shared" si="6"/>
        <v>2036.25</v>
      </c>
      <c r="U4" s="4">
        <f t="shared" ref="U4:U7" si="7">SUM(R4:T4)</f>
        <v>13575</v>
      </c>
      <c r="V4" s="4">
        <f t="shared" ref="V4:V7" si="8">Q4-U4</f>
        <v>59000</v>
      </c>
    </row>
    <row r="5" spans="1:22" x14ac:dyDescent="0.25">
      <c r="A5">
        <v>1003</v>
      </c>
      <c r="B5" s="3">
        <v>50000</v>
      </c>
      <c r="C5" s="3">
        <f t="shared" si="1"/>
        <v>250</v>
      </c>
      <c r="D5">
        <v>0</v>
      </c>
      <c r="E5">
        <v>0</v>
      </c>
      <c r="F5" s="4">
        <f t="shared" si="2"/>
        <v>0</v>
      </c>
      <c r="G5" s="7">
        <v>0</v>
      </c>
      <c r="H5" s="7" t="s">
        <v>19</v>
      </c>
      <c r="I5" s="7" t="s">
        <v>20</v>
      </c>
      <c r="J5" s="29">
        <v>40096</v>
      </c>
      <c r="K5" s="34"/>
      <c r="L5" s="34"/>
      <c r="M5" s="3">
        <v>12000</v>
      </c>
      <c r="N5" s="3">
        <v>4000</v>
      </c>
      <c r="O5" s="4">
        <f t="shared" si="3"/>
        <v>62000</v>
      </c>
      <c r="P5" s="4">
        <f t="shared" si="4"/>
        <v>4500</v>
      </c>
      <c r="Q5" s="4">
        <f t="shared" si="5"/>
        <v>66500</v>
      </c>
      <c r="R5" s="4">
        <f t="shared" si="6"/>
        <v>6820</v>
      </c>
      <c r="S5" s="4">
        <f t="shared" si="6"/>
        <v>3720</v>
      </c>
      <c r="T5" s="4">
        <f t="shared" si="6"/>
        <v>1860</v>
      </c>
      <c r="U5" s="4">
        <f t="shared" si="7"/>
        <v>12400</v>
      </c>
      <c r="V5" s="4">
        <f t="shared" si="8"/>
        <v>54100</v>
      </c>
    </row>
    <row r="6" spans="1:22" x14ac:dyDescent="0.25">
      <c r="A6">
        <v>1004</v>
      </c>
      <c r="B6" s="3">
        <v>50000</v>
      </c>
      <c r="C6" s="3">
        <f t="shared" si="1"/>
        <v>250</v>
      </c>
      <c r="D6">
        <v>0</v>
      </c>
      <c r="E6">
        <v>2</v>
      </c>
      <c r="F6" s="4">
        <f t="shared" si="2"/>
        <v>1000</v>
      </c>
      <c r="G6" s="7">
        <v>1</v>
      </c>
      <c r="H6" s="7" t="s">
        <v>20</v>
      </c>
      <c r="I6" s="7" t="s">
        <v>20</v>
      </c>
      <c r="J6" s="29">
        <v>40858</v>
      </c>
      <c r="K6" s="34"/>
      <c r="L6" s="34"/>
      <c r="M6" s="3">
        <v>12000</v>
      </c>
      <c r="N6" s="3">
        <v>4000</v>
      </c>
      <c r="O6" s="4">
        <f t="shared" si="3"/>
        <v>63000</v>
      </c>
      <c r="P6" s="4">
        <f t="shared" si="4"/>
        <v>4350</v>
      </c>
      <c r="Q6" s="4">
        <f t="shared" si="5"/>
        <v>67350</v>
      </c>
      <c r="R6" s="4">
        <f t="shared" si="6"/>
        <v>6930</v>
      </c>
      <c r="S6" s="4">
        <f t="shared" si="6"/>
        <v>3780</v>
      </c>
      <c r="T6" s="4">
        <f t="shared" si="6"/>
        <v>1890</v>
      </c>
      <c r="U6" s="4">
        <f t="shared" si="7"/>
        <v>12600</v>
      </c>
      <c r="V6" s="4">
        <f t="shared" si="8"/>
        <v>54750</v>
      </c>
    </row>
    <row r="7" spans="1:22" x14ac:dyDescent="0.25">
      <c r="A7">
        <v>1005</v>
      </c>
      <c r="B7" s="3">
        <v>50000</v>
      </c>
      <c r="C7" s="3">
        <f t="shared" si="1"/>
        <v>250</v>
      </c>
      <c r="D7">
        <v>40</v>
      </c>
      <c r="E7">
        <v>10</v>
      </c>
      <c r="F7" s="4">
        <f t="shared" si="2"/>
        <v>20000</v>
      </c>
      <c r="G7" s="7">
        <v>1</v>
      </c>
      <c r="H7" s="7" t="s">
        <v>19</v>
      </c>
      <c r="I7" s="7" t="s">
        <v>19</v>
      </c>
      <c r="J7" s="29">
        <v>42350</v>
      </c>
      <c r="K7" s="34"/>
      <c r="L7" s="34"/>
      <c r="M7" s="3">
        <v>12000</v>
      </c>
      <c r="N7" s="3">
        <v>4000</v>
      </c>
      <c r="O7" s="4">
        <f t="shared" si="3"/>
        <v>86000</v>
      </c>
      <c r="P7" s="4">
        <f t="shared" si="4"/>
        <v>4850</v>
      </c>
      <c r="Q7" s="4">
        <f t="shared" si="5"/>
        <v>90850</v>
      </c>
      <c r="R7" s="4">
        <f t="shared" si="6"/>
        <v>9460</v>
      </c>
      <c r="S7" s="4">
        <f t="shared" si="6"/>
        <v>5160</v>
      </c>
      <c r="T7" s="4">
        <f t="shared" si="6"/>
        <v>2580</v>
      </c>
      <c r="U7" s="4">
        <f t="shared" si="7"/>
        <v>17200</v>
      </c>
      <c r="V7" s="4">
        <f t="shared" si="8"/>
        <v>73650</v>
      </c>
    </row>
    <row r="8" spans="1:22" x14ac:dyDescent="0.25">
      <c r="U8" s="5" t="s">
        <v>15</v>
      </c>
      <c r="V8" s="6">
        <f>SUM(V3:V7)</f>
        <v>304650</v>
      </c>
    </row>
    <row r="10" spans="1:22" x14ac:dyDescent="0.25">
      <c r="O10" t="s">
        <v>23</v>
      </c>
    </row>
    <row r="11" spans="1:22" x14ac:dyDescent="0.25">
      <c r="F11" t="s">
        <v>22</v>
      </c>
      <c r="O11">
        <f>IF(I3="SI",B3+F3+M3+$I$1,B3+F3+M3)</f>
        <v>72000</v>
      </c>
    </row>
    <row r="12" spans="1:22" x14ac:dyDescent="0.25">
      <c r="O12" t="s">
        <v>24</v>
      </c>
    </row>
    <row r="13" spans="1:22" x14ac:dyDescent="0.25">
      <c r="D13" s="4"/>
    </row>
    <row r="14" spans="1:22" x14ac:dyDescent="0.25">
      <c r="D14" s="4"/>
      <c r="P14" t="s">
        <v>26</v>
      </c>
    </row>
    <row r="15" spans="1:22" x14ac:dyDescent="0.25">
      <c r="D15" s="4"/>
    </row>
    <row r="16" spans="1:22" x14ac:dyDescent="0.25">
      <c r="D16" s="4"/>
    </row>
    <row r="17" spans="4:4" x14ac:dyDescent="0.25">
      <c r="D17" s="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0364-462B-4941-877E-A434AC9E54E1}">
  <sheetPr>
    <tabColor theme="5"/>
  </sheetPr>
  <dimension ref="A1:L25"/>
  <sheetViews>
    <sheetView workbookViewId="0">
      <selection activeCell="L26" sqref="L26"/>
    </sheetView>
  </sheetViews>
  <sheetFormatPr baseColWidth="10" defaultRowHeight="15" x14ac:dyDescent="0.25"/>
  <cols>
    <col min="1" max="1" width="8.28515625" bestFit="1" customWidth="1"/>
    <col min="2" max="2" width="11" customWidth="1"/>
    <col min="3" max="3" width="14.85546875" bestFit="1" customWidth="1"/>
    <col min="4" max="4" width="7.5703125" customWidth="1"/>
    <col min="5" max="5" width="10.28515625" customWidth="1"/>
    <col min="6" max="6" width="9" customWidth="1"/>
    <col min="7" max="7" width="10.140625" customWidth="1"/>
    <col min="8" max="8" width="12.42578125" customWidth="1"/>
    <col min="9" max="9" width="11.7109375" customWidth="1"/>
    <col min="12" max="12" width="12" bestFit="1" customWidth="1"/>
  </cols>
  <sheetData>
    <row r="1" spans="1:12" ht="15.75" thickBot="1" x14ac:dyDescent="0.3">
      <c r="A1" s="15"/>
      <c r="B1" s="16"/>
      <c r="C1" s="16"/>
      <c r="D1" s="22"/>
      <c r="E1" s="24" t="s">
        <v>41</v>
      </c>
      <c r="F1" s="25"/>
      <c r="G1" s="23"/>
      <c r="H1" s="16"/>
      <c r="I1" s="16"/>
      <c r="J1" s="17">
        <v>0.21</v>
      </c>
      <c r="K1" s="17">
        <v>0.14000000000000001</v>
      </c>
      <c r="L1" s="18"/>
    </row>
    <row r="2" spans="1:12" s="2" customFormat="1" ht="28.5" customHeight="1" thickBot="1" x14ac:dyDescent="0.3">
      <c r="A2" s="19" t="s">
        <v>27</v>
      </c>
      <c r="B2" s="20" t="s">
        <v>34</v>
      </c>
      <c r="C2" s="20" t="s">
        <v>37</v>
      </c>
      <c r="D2" s="20" t="s">
        <v>38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1" t="s">
        <v>49</v>
      </c>
    </row>
    <row r="3" spans="1:12" x14ac:dyDescent="0.25">
      <c r="A3" s="13" t="s">
        <v>28</v>
      </c>
      <c r="B3" s="14" t="s">
        <v>35</v>
      </c>
      <c r="C3" s="26">
        <f>IF(B3="Residencial",3500,5000)</f>
        <v>3500</v>
      </c>
      <c r="D3" s="26">
        <f>IF(B3="Residencial",5,6)</f>
        <v>5</v>
      </c>
      <c r="E3" s="14">
        <v>8080</v>
      </c>
      <c r="F3" s="14">
        <v>9009</v>
      </c>
      <c r="G3" s="14">
        <f>F3-E3</f>
        <v>929</v>
      </c>
      <c r="H3" s="27">
        <f>D3*G3</f>
        <v>4645</v>
      </c>
      <c r="I3" s="27">
        <f>C3+H3</f>
        <v>8145</v>
      </c>
      <c r="J3" s="27">
        <f>I3*$J$1</f>
        <v>1710.45</v>
      </c>
      <c r="K3" s="27">
        <f>I3*$K$1</f>
        <v>1140.3000000000002</v>
      </c>
      <c r="L3" s="28">
        <f>I3+J3+K3</f>
        <v>10995.75</v>
      </c>
    </row>
    <row r="4" spans="1:12" x14ac:dyDescent="0.25">
      <c r="A4" s="10" t="s">
        <v>29</v>
      </c>
      <c r="B4" s="9" t="s">
        <v>36</v>
      </c>
      <c r="C4" s="26">
        <f t="shared" ref="C4:C8" si="0">IF(B4="Residencial",3500,5000)</f>
        <v>5000</v>
      </c>
      <c r="D4" s="26">
        <f t="shared" ref="D4:D8" si="1">IF(B4="Residencial",5,6)</f>
        <v>6</v>
      </c>
      <c r="E4" s="9">
        <v>5050</v>
      </c>
      <c r="F4" s="9">
        <v>6060</v>
      </c>
      <c r="G4" s="14">
        <f t="shared" ref="G4:G8" si="2">F4-E4</f>
        <v>1010</v>
      </c>
      <c r="H4" s="27">
        <f t="shared" ref="H4:H8" si="3">D4*G4</f>
        <v>6060</v>
      </c>
      <c r="I4" s="27">
        <f t="shared" ref="I4:I8" si="4">C4+H4</f>
        <v>11060</v>
      </c>
      <c r="J4" s="27">
        <f t="shared" ref="J3:J8" si="5">I4*$J$1</f>
        <v>2322.6</v>
      </c>
      <c r="K4" s="27">
        <f t="shared" ref="K4:K8" si="6">I4*$K$1</f>
        <v>1548.4</v>
      </c>
      <c r="L4" s="28">
        <f t="shared" ref="L4:L8" si="7">I4+J4+K4</f>
        <v>14931</v>
      </c>
    </row>
    <row r="5" spans="1:12" x14ac:dyDescent="0.25">
      <c r="A5" s="10" t="s">
        <v>30</v>
      </c>
      <c r="B5" s="9" t="s">
        <v>35</v>
      </c>
      <c r="C5" s="26">
        <f t="shared" si="0"/>
        <v>3500</v>
      </c>
      <c r="D5" s="26">
        <f t="shared" si="1"/>
        <v>5</v>
      </c>
      <c r="E5" s="9">
        <v>6060</v>
      </c>
      <c r="F5" s="9">
        <v>7020</v>
      </c>
      <c r="G5" s="14">
        <f t="shared" si="2"/>
        <v>960</v>
      </c>
      <c r="H5" s="27">
        <f t="shared" si="3"/>
        <v>4800</v>
      </c>
      <c r="I5" s="27">
        <f t="shared" si="4"/>
        <v>8300</v>
      </c>
      <c r="J5" s="27">
        <f t="shared" si="5"/>
        <v>1743</v>
      </c>
      <c r="K5" s="27">
        <f t="shared" si="6"/>
        <v>1162</v>
      </c>
      <c r="L5" s="28">
        <f t="shared" si="7"/>
        <v>11205</v>
      </c>
    </row>
    <row r="6" spans="1:12" x14ac:dyDescent="0.25">
      <c r="A6" s="10" t="s">
        <v>31</v>
      </c>
      <c r="B6" s="9" t="s">
        <v>36</v>
      </c>
      <c r="C6" s="26">
        <f t="shared" si="0"/>
        <v>5000</v>
      </c>
      <c r="D6" s="26">
        <f t="shared" si="1"/>
        <v>6</v>
      </c>
      <c r="E6" s="9">
        <v>7070</v>
      </c>
      <c r="F6" s="9">
        <v>8120</v>
      </c>
      <c r="G6" s="14">
        <f t="shared" si="2"/>
        <v>1050</v>
      </c>
      <c r="H6" s="27">
        <f t="shared" si="3"/>
        <v>6300</v>
      </c>
      <c r="I6" s="27">
        <f t="shared" si="4"/>
        <v>11300</v>
      </c>
      <c r="J6" s="27">
        <f t="shared" si="5"/>
        <v>2373</v>
      </c>
      <c r="K6" s="27">
        <f t="shared" si="6"/>
        <v>1582.0000000000002</v>
      </c>
      <c r="L6" s="28">
        <f t="shared" si="7"/>
        <v>15255</v>
      </c>
    </row>
    <row r="7" spans="1:12" x14ac:dyDescent="0.25">
      <c r="A7" s="10" t="s">
        <v>32</v>
      </c>
      <c r="B7" s="9" t="s">
        <v>35</v>
      </c>
      <c r="C7" s="26">
        <f t="shared" si="0"/>
        <v>3500</v>
      </c>
      <c r="D7" s="26">
        <f t="shared" si="1"/>
        <v>5</v>
      </c>
      <c r="E7" s="9">
        <v>2020</v>
      </c>
      <c r="F7" s="9">
        <v>2220</v>
      </c>
      <c r="G7" s="14">
        <f t="shared" si="2"/>
        <v>200</v>
      </c>
      <c r="H7" s="27">
        <f t="shared" si="3"/>
        <v>1000</v>
      </c>
      <c r="I7" s="27">
        <f t="shared" si="4"/>
        <v>4500</v>
      </c>
      <c r="J7" s="27">
        <f t="shared" si="5"/>
        <v>945</v>
      </c>
      <c r="K7" s="27">
        <f t="shared" si="6"/>
        <v>630.00000000000011</v>
      </c>
      <c r="L7" s="28">
        <f t="shared" si="7"/>
        <v>6075</v>
      </c>
    </row>
    <row r="8" spans="1:12" ht="15.75" thickBot="1" x14ac:dyDescent="0.3">
      <c r="A8" s="11" t="s">
        <v>33</v>
      </c>
      <c r="B8" s="12" t="s">
        <v>36</v>
      </c>
      <c r="C8" s="26">
        <f t="shared" si="0"/>
        <v>5000</v>
      </c>
      <c r="D8" s="26">
        <f t="shared" si="1"/>
        <v>6</v>
      </c>
      <c r="E8" s="12">
        <v>3030</v>
      </c>
      <c r="F8" s="12">
        <v>3333</v>
      </c>
      <c r="G8" s="14">
        <f t="shared" si="2"/>
        <v>303</v>
      </c>
      <c r="H8" s="27">
        <f t="shared" si="3"/>
        <v>1818</v>
      </c>
      <c r="I8" s="27">
        <f t="shared" si="4"/>
        <v>6818</v>
      </c>
      <c r="J8" s="27">
        <f t="shared" si="5"/>
        <v>1431.78</v>
      </c>
      <c r="K8" s="27">
        <f t="shared" si="6"/>
        <v>954.5200000000001</v>
      </c>
      <c r="L8" s="28">
        <f t="shared" si="7"/>
        <v>9204.3000000000011</v>
      </c>
    </row>
    <row r="13" spans="1:12" x14ac:dyDescent="0.25">
      <c r="A13" t="s">
        <v>40</v>
      </c>
    </row>
    <row r="14" spans="1:12" x14ac:dyDescent="0.25">
      <c r="A14" t="s">
        <v>39</v>
      </c>
    </row>
    <row r="17" spans="3:12" x14ac:dyDescent="0.25">
      <c r="C17" t="s">
        <v>50</v>
      </c>
    </row>
    <row r="19" spans="3:12" x14ac:dyDescent="0.25">
      <c r="D19" t="s">
        <v>51</v>
      </c>
    </row>
    <row r="20" spans="3:12" x14ac:dyDescent="0.25">
      <c r="G20" t="s">
        <v>52</v>
      </c>
    </row>
    <row r="21" spans="3:12" x14ac:dyDescent="0.25">
      <c r="H21" t="s">
        <v>53</v>
      </c>
    </row>
    <row r="22" spans="3:12" x14ac:dyDescent="0.25">
      <c r="I22" t="s">
        <v>54</v>
      </c>
    </row>
    <row r="23" spans="3:12" x14ac:dyDescent="0.25">
      <c r="J23" t="s">
        <v>55</v>
      </c>
    </row>
    <row r="24" spans="3:12" x14ac:dyDescent="0.25">
      <c r="K24" t="s">
        <v>16</v>
      </c>
    </row>
    <row r="25" spans="3:12" x14ac:dyDescent="0.25">
      <c r="L25" t="s">
        <v>56</v>
      </c>
    </row>
  </sheetData>
  <mergeCells count="1">
    <mergeCell ref="E1:F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409D-DEC5-462D-A4FB-A1831A88B06D}">
  <sheetPr>
    <tabColor theme="5"/>
  </sheetPr>
  <dimension ref="A1:F26"/>
  <sheetViews>
    <sheetView workbookViewId="0">
      <selection activeCell="E8" sqref="E8"/>
    </sheetView>
  </sheetViews>
  <sheetFormatPr baseColWidth="10" defaultRowHeight="15" x14ac:dyDescent="0.25"/>
  <cols>
    <col min="1" max="1" width="14.7109375" bestFit="1" customWidth="1"/>
    <col min="2" max="2" width="12.28515625" bestFit="1" customWidth="1"/>
    <col min="4" max="4" width="16.28515625" customWidth="1"/>
    <col min="5" max="5" width="30.140625" bestFit="1" customWidth="1"/>
  </cols>
  <sheetData>
    <row r="1" spans="1:6" x14ac:dyDescent="0.25">
      <c r="A1" s="29">
        <f ca="1">TODAY()</f>
        <v>44697</v>
      </c>
      <c r="C1" s="29">
        <v>44697</v>
      </c>
      <c r="E1" t="s">
        <v>57</v>
      </c>
    </row>
    <row r="2" spans="1:6" x14ac:dyDescent="0.25">
      <c r="A2" s="31">
        <f ca="1">NOW()</f>
        <v>44697.496149768522</v>
      </c>
      <c r="C2" s="30">
        <v>0.45833333333333331</v>
      </c>
      <c r="E2" t="s">
        <v>58</v>
      </c>
    </row>
    <row r="3" spans="1:6" x14ac:dyDescent="0.25">
      <c r="A3" s="29"/>
    </row>
    <row r="4" spans="1:6" x14ac:dyDescent="0.25">
      <c r="A4">
        <f ca="1">DAY(A1)</f>
        <v>16</v>
      </c>
      <c r="C4" s="29">
        <f>C1+45</f>
        <v>44742</v>
      </c>
      <c r="E4" t="s">
        <v>67</v>
      </c>
      <c r="F4" s="29">
        <v>44683</v>
      </c>
    </row>
    <row r="5" spans="1:6" x14ac:dyDescent="0.25">
      <c r="A5">
        <f ca="1">MONTH(A1)</f>
        <v>5</v>
      </c>
      <c r="C5" s="29">
        <f>C1+20</f>
        <v>44717</v>
      </c>
    </row>
    <row r="6" spans="1:6" x14ac:dyDescent="0.25">
      <c r="A6">
        <f ca="1">YEAR(A1)</f>
        <v>2022</v>
      </c>
    </row>
    <row r="7" spans="1:6" x14ac:dyDescent="0.25">
      <c r="E7">
        <f ca="1">A1-F4</f>
        <v>14</v>
      </c>
    </row>
    <row r="8" spans="1:6" x14ac:dyDescent="0.25">
      <c r="A8">
        <f ca="1">HOUR(A2)</f>
        <v>11</v>
      </c>
    </row>
    <row r="9" spans="1:6" x14ac:dyDescent="0.25">
      <c r="A9">
        <f ca="1">MINUTE(A2)</f>
        <v>54</v>
      </c>
    </row>
    <row r="10" spans="1:6" x14ac:dyDescent="0.25">
      <c r="A10">
        <f ca="1">SECOND(A2)</f>
        <v>27</v>
      </c>
    </row>
    <row r="20" spans="1:6" x14ac:dyDescent="0.25">
      <c r="A20" s="8" t="s">
        <v>59</v>
      </c>
      <c r="B20" s="8"/>
      <c r="C20" s="8"/>
      <c r="D20" s="8"/>
      <c r="E20" s="8"/>
      <c r="F20" s="8"/>
    </row>
    <row r="21" spans="1:6" x14ac:dyDescent="0.25">
      <c r="A21" t="s">
        <v>60</v>
      </c>
      <c r="B21" t="s">
        <v>61</v>
      </c>
      <c r="C21" t="s">
        <v>62</v>
      </c>
      <c r="D21" t="s">
        <v>63</v>
      </c>
    </row>
    <row r="22" spans="1:6" x14ac:dyDescent="0.25">
      <c r="A22" t="s">
        <v>64</v>
      </c>
      <c r="B22" s="30">
        <v>0.46111111111111108</v>
      </c>
      <c r="C22" s="30">
        <v>0.46111111111111108</v>
      </c>
      <c r="D22" s="30">
        <f>C22-B22</f>
        <v>0</v>
      </c>
    </row>
    <row r="23" spans="1:6" x14ac:dyDescent="0.25">
      <c r="A23" t="s">
        <v>65</v>
      </c>
      <c r="B23" s="30">
        <v>0.46111111111111108</v>
      </c>
      <c r="C23" s="30">
        <v>0.46180555555555558</v>
      </c>
      <c r="D23" s="30">
        <f t="shared" ref="D23:D26" si="0">C23-B23</f>
        <v>6.9444444444449749E-4</v>
      </c>
    </row>
    <row r="24" spans="1:6" x14ac:dyDescent="0.25">
      <c r="A24" t="s">
        <v>66</v>
      </c>
      <c r="B24" s="30">
        <v>0.46180555555555558</v>
      </c>
      <c r="D24" s="30">
        <f t="shared" si="0"/>
        <v>-0.46180555555555558</v>
      </c>
    </row>
    <row r="25" spans="1:6" x14ac:dyDescent="0.25">
      <c r="D25" s="30">
        <f t="shared" si="0"/>
        <v>0</v>
      </c>
    </row>
    <row r="26" spans="1:6" x14ac:dyDescent="0.25">
      <c r="D26" s="30">
        <f t="shared" si="0"/>
        <v>0</v>
      </c>
    </row>
  </sheetData>
  <mergeCells count="1">
    <mergeCell ref="A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3297-8362-43CD-A209-AEFFC46860CE}">
  <sheetPr>
    <tabColor theme="5"/>
  </sheetPr>
  <dimension ref="A1:E23"/>
  <sheetViews>
    <sheetView workbookViewId="0">
      <selection activeCell="A24" sqref="A24"/>
    </sheetView>
  </sheetViews>
  <sheetFormatPr baseColWidth="10" defaultRowHeight="15" x14ac:dyDescent="0.25"/>
  <cols>
    <col min="1" max="1" width="11.85546875" bestFit="1" customWidth="1"/>
    <col min="3" max="3" width="11.85546875" bestFit="1" customWidth="1"/>
  </cols>
  <sheetData>
    <row r="1" spans="1:5" x14ac:dyDescent="0.25">
      <c r="A1" s="29">
        <f ca="1">TODAY()</f>
        <v>44697</v>
      </c>
      <c r="C1" s="29">
        <v>26697</v>
      </c>
      <c r="E1" s="29">
        <v>30660</v>
      </c>
    </row>
    <row r="3" spans="1:5" x14ac:dyDescent="0.25">
      <c r="C3">
        <f ca="1">A1-C1</f>
        <v>18000</v>
      </c>
      <c r="E3">
        <f ca="1">A1-E1</f>
        <v>14037</v>
      </c>
    </row>
    <row r="5" spans="1:5" x14ac:dyDescent="0.25">
      <c r="C5">
        <f ca="1">C3/365</f>
        <v>49.315068493150683</v>
      </c>
      <c r="E5">
        <f ca="1">E3/365</f>
        <v>38.457534246575342</v>
      </c>
    </row>
    <row r="7" spans="1:5" x14ac:dyDescent="0.25">
      <c r="C7">
        <f ca="1">DAYS360(C1,A1)</f>
        <v>17744</v>
      </c>
      <c r="E7">
        <f ca="1">DAYS360(E1,A1)</f>
        <v>13836</v>
      </c>
    </row>
    <row r="8" spans="1:5" x14ac:dyDescent="0.25">
      <c r="C8">
        <f ca="1">C7/360</f>
        <v>49.288888888888891</v>
      </c>
      <c r="E8">
        <f ca="1">E7/360</f>
        <v>38.43333333333333</v>
      </c>
    </row>
    <row r="10" spans="1:5" x14ac:dyDescent="0.25">
      <c r="C10">
        <f ca="1">ROUND(C8,0)</f>
        <v>49</v>
      </c>
    </row>
    <row r="11" spans="1:5" x14ac:dyDescent="0.25">
      <c r="C11">
        <f ca="1">ROUNDUP(C8,0)</f>
        <v>50</v>
      </c>
    </row>
    <row r="12" spans="1:5" x14ac:dyDescent="0.25">
      <c r="C12">
        <f ca="1">ROUNDDOWN(C8,0)</f>
        <v>49</v>
      </c>
    </row>
    <row r="13" spans="1:5" x14ac:dyDescent="0.25">
      <c r="C13">
        <f ca="1">INT(C8)</f>
        <v>49</v>
      </c>
      <c r="E13">
        <f ca="1">INT(E8)</f>
        <v>38</v>
      </c>
    </row>
    <row r="15" spans="1:5" x14ac:dyDescent="0.25">
      <c r="C15">
        <f ca="1">INT(DAYS360(C1,A1)/360)</f>
        <v>49</v>
      </c>
      <c r="E15">
        <f ca="1">INT(DAYS360(E1,A1)/360)</f>
        <v>38</v>
      </c>
    </row>
    <row r="16" spans="1:5" x14ac:dyDescent="0.25">
      <c r="A16" t="s">
        <v>68</v>
      </c>
    </row>
    <row r="17" spans="1:1" x14ac:dyDescent="0.25">
      <c r="A17" t="s">
        <v>69</v>
      </c>
    </row>
    <row r="18" spans="1:1" x14ac:dyDescent="0.25">
      <c r="A18" t="s">
        <v>70</v>
      </c>
    </row>
    <row r="20" spans="1:1" x14ac:dyDescent="0.25">
      <c r="A20" t="s">
        <v>71</v>
      </c>
    </row>
    <row r="22" spans="1:1" x14ac:dyDescent="0.25">
      <c r="A22" t="s">
        <v>83</v>
      </c>
    </row>
    <row r="23" spans="1:1" x14ac:dyDescent="0.25">
      <c r="A23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35BC-6B67-4733-9EE4-144041466351}">
  <sheetPr>
    <tabColor theme="5"/>
  </sheetPr>
  <dimension ref="A1:F11"/>
  <sheetViews>
    <sheetView workbookViewId="0">
      <selection activeCell="A12" sqref="A12"/>
    </sheetView>
  </sheetViews>
  <sheetFormatPr baseColWidth="10" defaultRowHeight="15" x14ac:dyDescent="0.25"/>
  <cols>
    <col min="3" max="3" width="9.140625" customWidth="1"/>
    <col min="4" max="4" width="11.140625" customWidth="1"/>
    <col min="5" max="5" width="13" bestFit="1" customWidth="1"/>
  </cols>
  <sheetData>
    <row r="1" spans="1:6" x14ac:dyDescent="0.25">
      <c r="D1" s="29">
        <f ca="1">TODAY()</f>
        <v>44697</v>
      </c>
    </row>
    <row r="2" spans="1:6" s="2" customFormat="1" ht="28.5" customHeight="1" x14ac:dyDescent="0.25">
      <c r="A2" s="2" t="s">
        <v>72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82</v>
      </c>
    </row>
    <row r="3" spans="1:6" x14ac:dyDescent="0.25">
      <c r="A3" t="s">
        <v>73</v>
      </c>
      <c r="B3">
        <v>5000</v>
      </c>
      <c r="C3" s="3">
        <v>55</v>
      </c>
      <c r="D3" s="29">
        <v>43915</v>
      </c>
      <c r="E3" s="4">
        <f>B3*C3</f>
        <v>275000</v>
      </c>
      <c r="F3">
        <f ca="1">INT(DAYS360(D3,$D$1)/360)</f>
        <v>2</v>
      </c>
    </row>
    <row r="4" spans="1:6" x14ac:dyDescent="0.25">
      <c r="A4" t="s">
        <v>74</v>
      </c>
      <c r="B4">
        <v>6000</v>
      </c>
      <c r="C4" s="3">
        <v>50</v>
      </c>
      <c r="D4" s="29">
        <v>43905</v>
      </c>
      <c r="E4" s="4">
        <f t="shared" ref="E4:E6" si="0">B4*C4</f>
        <v>300000</v>
      </c>
      <c r="F4">
        <f t="shared" ref="F4:F6" ca="1" si="1">INT(DAYS360(D4,$D$1)/360)</f>
        <v>2</v>
      </c>
    </row>
    <row r="5" spans="1:6" x14ac:dyDescent="0.25">
      <c r="A5" t="s">
        <v>75</v>
      </c>
      <c r="B5">
        <v>4000</v>
      </c>
      <c r="C5" s="3">
        <v>60</v>
      </c>
      <c r="D5" s="29">
        <v>43498</v>
      </c>
      <c r="E5" s="4">
        <f t="shared" si="0"/>
        <v>240000</v>
      </c>
      <c r="F5">
        <f t="shared" ca="1" si="1"/>
        <v>3</v>
      </c>
    </row>
    <row r="6" spans="1:6" x14ac:dyDescent="0.25">
      <c r="A6" t="s">
        <v>76</v>
      </c>
      <c r="B6">
        <v>2000</v>
      </c>
      <c r="C6" s="3">
        <v>75</v>
      </c>
      <c r="D6" s="29">
        <v>43156</v>
      </c>
      <c r="E6" s="4">
        <f t="shared" si="0"/>
        <v>150000</v>
      </c>
      <c r="F6">
        <f t="shared" ca="1" si="1"/>
        <v>4</v>
      </c>
    </row>
    <row r="11" spans="1:6" x14ac:dyDescent="0.25">
      <c r="A11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D0DD-668D-4AE8-9006-81E037E5BCAC}">
  <sheetPr>
    <tabColor theme="5"/>
  </sheetPr>
  <dimension ref="A1:H17"/>
  <sheetViews>
    <sheetView tabSelected="1" workbookViewId="0">
      <selection activeCell="A20" sqref="A20"/>
    </sheetView>
  </sheetViews>
  <sheetFormatPr baseColWidth="10" defaultRowHeight="15" x14ac:dyDescent="0.25"/>
  <cols>
    <col min="4" max="4" width="15.85546875" bestFit="1" customWidth="1"/>
  </cols>
  <sheetData>
    <row r="1" spans="1:8" x14ac:dyDescent="0.25">
      <c r="D1" s="3">
        <v>6000</v>
      </c>
    </row>
    <row r="2" spans="1:8" x14ac:dyDescent="0.25">
      <c r="A2" t="s">
        <v>89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 t="s">
        <v>103</v>
      </c>
    </row>
    <row r="3" spans="1:8" x14ac:dyDescent="0.25">
      <c r="A3" t="s">
        <v>90</v>
      </c>
      <c r="B3" s="29">
        <v>44697</v>
      </c>
      <c r="D3" s="35"/>
      <c r="E3" s="3"/>
      <c r="F3" s="3"/>
      <c r="G3" s="3"/>
      <c r="H3" s="35"/>
    </row>
    <row r="4" spans="1:8" x14ac:dyDescent="0.25">
      <c r="A4" t="s">
        <v>91</v>
      </c>
      <c r="B4" s="29">
        <v>44697</v>
      </c>
      <c r="C4" s="29"/>
      <c r="D4" s="35"/>
      <c r="E4" s="3"/>
      <c r="F4" s="3">
        <v>300</v>
      </c>
      <c r="G4" s="3"/>
      <c r="H4" s="35"/>
    </row>
    <row r="5" spans="1:8" x14ac:dyDescent="0.25">
      <c r="A5" t="s">
        <v>92</v>
      </c>
      <c r="B5" s="29">
        <v>44697</v>
      </c>
      <c r="D5" s="35"/>
      <c r="E5" s="3">
        <v>2500</v>
      </c>
      <c r="F5" s="3"/>
      <c r="G5" s="3"/>
      <c r="H5" s="35"/>
    </row>
    <row r="6" spans="1:8" x14ac:dyDescent="0.25">
      <c r="A6" t="s">
        <v>93</v>
      </c>
      <c r="B6" s="29">
        <v>44697</v>
      </c>
      <c r="D6" s="35"/>
      <c r="E6" s="3"/>
      <c r="F6" s="3"/>
      <c r="G6" s="3">
        <v>2000</v>
      </c>
      <c r="H6" s="35"/>
    </row>
    <row r="7" spans="1:8" x14ac:dyDescent="0.25">
      <c r="A7" t="s">
        <v>94</v>
      </c>
      <c r="B7" s="29">
        <v>44697</v>
      </c>
      <c r="C7" s="29"/>
      <c r="D7" s="35"/>
      <c r="E7" s="3"/>
      <c r="F7" s="3"/>
      <c r="G7" s="3">
        <v>6000</v>
      </c>
      <c r="H7" s="35"/>
    </row>
    <row r="8" spans="1:8" x14ac:dyDescent="0.25">
      <c r="A8" t="s">
        <v>95</v>
      </c>
      <c r="B8" s="29">
        <v>44697</v>
      </c>
      <c r="D8" s="35"/>
      <c r="E8" s="3"/>
      <c r="F8" s="3">
        <v>800</v>
      </c>
      <c r="G8" s="3"/>
      <c r="H8" s="35"/>
    </row>
    <row r="9" spans="1:8" x14ac:dyDescent="0.25">
      <c r="A9" t="s">
        <v>96</v>
      </c>
      <c r="B9" s="29">
        <v>44697</v>
      </c>
      <c r="D9" s="35"/>
      <c r="E9" s="3"/>
      <c r="F9" s="3"/>
      <c r="G9" s="3"/>
      <c r="H9" s="35"/>
    </row>
    <row r="10" spans="1:8" x14ac:dyDescent="0.25">
      <c r="D10" t="s">
        <v>104</v>
      </c>
      <c r="H10" t="s">
        <v>104</v>
      </c>
    </row>
    <row r="16" spans="1:8" x14ac:dyDescent="0.25">
      <c r="A16" s="36" t="s">
        <v>87</v>
      </c>
      <c r="B16" s="36"/>
      <c r="C16" s="36"/>
      <c r="D16" s="36"/>
      <c r="E16" s="36"/>
      <c r="F16" s="36"/>
    </row>
    <row r="17" spans="1:6" x14ac:dyDescent="0.25">
      <c r="A17" s="36" t="s">
        <v>88</v>
      </c>
      <c r="B17" s="36"/>
      <c r="C17" s="36"/>
      <c r="D17" s="36"/>
      <c r="E17" s="36"/>
      <c r="F17" s="3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Liquidación de sueldos</vt:lpstr>
      <vt:lpstr>Cooperatica Electrica</vt:lpstr>
      <vt:lpstr>Formulas Fecha Hora</vt:lpstr>
      <vt:lpstr>Calculo de Fechas</vt:lpstr>
      <vt:lpstr>Bodega</vt:lpstr>
      <vt:lpstr>Hotel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Intercrios</dc:creator>
  <cp:lastModifiedBy>Carlos Intercrios</cp:lastModifiedBy>
  <dcterms:created xsi:type="dcterms:W3CDTF">2022-05-16T13:06:38Z</dcterms:created>
  <dcterms:modified xsi:type="dcterms:W3CDTF">2022-05-16T14:54:59Z</dcterms:modified>
</cp:coreProperties>
</file>
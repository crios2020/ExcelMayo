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Excel\"/>
    </mc:Choice>
  </mc:AlternateContent>
  <xr:revisionPtr revIDLastSave="0" documentId="13_ncr:1_{C1EB2498-D485-4A14-A1D8-C8BF112316B6}" xr6:coauthVersionLast="47" xr6:coauthVersionMax="47" xr10:uidLastSave="{00000000-0000-0000-0000-000000000000}"/>
  <bookViews>
    <workbookView xWindow="-120" yWindow="-120" windowWidth="17520" windowHeight="12600" activeTab="1" xr2:uid="{527D7A75-B371-4328-A863-92A6BCE14D8C}"/>
  </bookViews>
  <sheets>
    <sheet name="Liquidación de sueldos" sheetId="2" r:id="rId1"/>
    <sheet name="Cooperatica Electric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S8" i="2" l="1"/>
  <c r="S3" i="2"/>
  <c r="N4" i="2"/>
  <c r="N5" i="2"/>
  <c r="N6" i="2"/>
  <c r="N7" i="2"/>
  <c r="N3" i="2"/>
  <c r="M3" i="2"/>
  <c r="M4" i="2"/>
  <c r="M5" i="2"/>
  <c r="M6" i="2"/>
  <c r="M7" i="2"/>
  <c r="C7" i="2"/>
  <c r="C6" i="2"/>
  <c r="C5" i="2"/>
  <c r="C4" i="2"/>
  <c r="C3" i="2"/>
  <c r="F3" i="2" l="1"/>
  <c r="F4" i="2"/>
  <c r="L4" i="2" s="1"/>
  <c r="F5" i="2"/>
  <c r="L5" i="2" s="1"/>
  <c r="F6" i="2"/>
  <c r="L6" i="2" s="1"/>
  <c r="F7" i="2"/>
  <c r="L7" i="2" s="1"/>
  <c r="L11" i="2" l="1"/>
  <c r="L3" i="2"/>
  <c r="Q7" i="2"/>
  <c r="P7" i="2"/>
  <c r="O7" i="2"/>
  <c r="R7" i="2" s="1"/>
  <c r="S7" i="2"/>
  <c r="Q6" i="2"/>
  <c r="P6" i="2"/>
  <c r="O6" i="2"/>
  <c r="R6" i="2" s="1"/>
  <c r="S6" i="2"/>
  <c r="Q5" i="2"/>
  <c r="P5" i="2"/>
  <c r="O5" i="2"/>
  <c r="R5" i="2" s="1"/>
  <c r="S5" i="2"/>
  <c r="Q4" i="2"/>
  <c r="P4" i="2"/>
  <c r="O4" i="2"/>
  <c r="R4" i="2" s="1"/>
  <c r="S4" i="2"/>
  <c r="Q3" i="2"/>
  <c r="P3" i="2"/>
  <c r="O3" i="2"/>
  <c r="R3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Intercrios</author>
  </authors>
  <commentList>
    <comment ref="G2" authorId="0" shapeId="0" xr:uid="{6F33BE15-2221-4759-91C8-BA5D1339F79D}">
      <text>
        <r>
          <rPr>
            <b/>
            <sz val="9"/>
            <color indexed="81"/>
            <rFont val="Tahoma"/>
            <family val="2"/>
          </rPr>
          <t>Carlos Intercrios:</t>
        </r>
        <r>
          <rPr>
            <sz val="9"/>
            <color indexed="81"/>
            <rFont val="Tahoma"/>
            <family val="2"/>
          </rPr>
          <t xml:space="preserve">
Suma no Remunerativa</t>
        </r>
      </text>
    </comment>
    <comment ref="H2" authorId="0" shapeId="0" xr:uid="{AFDE5702-27C2-43E1-BCC7-8EB5B1FA9675}">
      <text>
        <r>
          <rPr>
            <b/>
            <sz val="9"/>
            <color indexed="81"/>
            <rFont val="Tahoma"/>
            <family val="2"/>
          </rPr>
          <t>Carlos Intercrios:</t>
        </r>
        <r>
          <rPr>
            <sz val="9"/>
            <color indexed="81"/>
            <rFont val="Tahoma"/>
            <family val="2"/>
          </rPr>
          <t xml:space="preserve">
Suma no Remunerativa</t>
        </r>
      </text>
    </comment>
    <comment ref="I2" authorId="0" shapeId="0" xr:uid="{C2A4494A-0885-4ED8-8AF7-58E810F6DD9B}">
      <text>
        <r>
          <rPr>
            <b/>
            <sz val="9"/>
            <color indexed="81"/>
            <rFont val="Tahoma"/>
            <family val="2"/>
          </rPr>
          <t>Carlos Intercrios:</t>
        </r>
        <r>
          <rPr>
            <sz val="9"/>
            <color indexed="81"/>
            <rFont val="Tahoma"/>
            <family val="2"/>
          </rPr>
          <t xml:space="preserve">
Suma Remunerativa</t>
        </r>
      </text>
    </comment>
  </commentList>
</comments>
</file>

<file path=xl/sharedStrings.xml><?xml version="1.0" encoding="utf-8"?>
<sst xmlns="http://schemas.openxmlformats.org/spreadsheetml/2006/main" count="61" uniqueCount="49">
  <si>
    <t>Legajo</t>
  </si>
  <si>
    <t>Sueldo Básico</t>
  </si>
  <si>
    <t>Valor Hora</t>
  </si>
  <si>
    <t>Horas Extras Simples</t>
  </si>
  <si>
    <t xml:space="preserve">Horas Extras Dobles </t>
  </si>
  <si>
    <t>Total $ Horas Extras</t>
  </si>
  <si>
    <t>Suma Remunerativa</t>
  </si>
  <si>
    <t>Suma No Remunerativa</t>
  </si>
  <si>
    <t>Total Remunerativo</t>
  </si>
  <si>
    <t>Sueldo Bruto</t>
  </si>
  <si>
    <t>Jubilación</t>
  </si>
  <si>
    <t>Obra Social</t>
  </si>
  <si>
    <t>Aporte Sindical</t>
  </si>
  <si>
    <t>Total Descuentos</t>
  </si>
  <si>
    <t>Sueldo Neto</t>
  </si>
  <si>
    <t>Total:</t>
  </si>
  <si>
    <t>Hijos</t>
  </si>
  <si>
    <t>Conyugue</t>
  </si>
  <si>
    <t>SI</t>
  </si>
  <si>
    <t>NO</t>
  </si>
  <si>
    <t>Presentismo</t>
  </si>
  <si>
    <t>Presentismo: Si I3="SI": sumar 4000 sino suma 0</t>
  </si>
  <si>
    <t xml:space="preserve"> =B3+F3+J3+SI(I3="SI";$I$1;0)</t>
  </si>
  <si>
    <t xml:space="preserve"> =SI(I3="SI";B3+F3+J3+$I$1;B3+F3+J3)</t>
  </si>
  <si>
    <t>Total No Remunerativo</t>
  </si>
  <si>
    <t xml:space="preserve"> =K3+G3*$G$1+SI(H3="SI";$H$1;0)</t>
  </si>
  <si>
    <t>Clientes</t>
  </si>
  <si>
    <t>c01</t>
  </si>
  <si>
    <t>c02</t>
  </si>
  <si>
    <t>c03</t>
  </si>
  <si>
    <t>c04</t>
  </si>
  <si>
    <t>c05</t>
  </si>
  <si>
    <t>c06</t>
  </si>
  <si>
    <t>Tipo Cliente</t>
  </si>
  <si>
    <t>Residencial</t>
  </si>
  <si>
    <t>Comercial</t>
  </si>
  <si>
    <t>Abono Mensual</t>
  </si>
  <si>
    <t>Valor x KW</t>
  </si>
  <si>
    <t>Valor x KW: Si el clientes es Residencial paga 5$ sino 6$</t>
  </si>
  <si>
    <t>Abono Mensual: Si el clientes es Residencial paga $3500 sino $5000</t>
  </si>
  <si>
    <t>Medidor</t>
  </si>
  <si>
    <t>Estado Inicial</t>
  </si>
  <si>
    <t>Estado Final</t>
  </si>
  <si>
    <t>Cantidad de KWs</t>
  </si>
  <si>
    <t>Total $ KWS</t>
  </si>
  <si>
    <t>Subtotal</t>
  </si>
  <si>
    <t>IVA</t>
  </si>
  <si>
    <t>Impuestos Varios</t>
  </si>
  <si>
    <t>Total a pagar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</si>
</sst>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9" fontId="0" fillId="0" borderId="0" xfId="0" applyNumberFormat="1"/>
    <xf numFmtId="0" fontId="0" fillId="0" borderId="0" xfId="0" applyAlignment="1">
      <alignment horizontal="center" vertical="center" wrapText="1"/>
    </xf>
    <xf numFmtId="44" fontId="0" fillId="0" borderId="0" xfId="1" applyFont="1"/>
    <xf numFmtId="44" fontId="0" fillId="0" borderId="0" xfId="0" applyNumberFormat="1"/>
    <xf numFmtId="0" fontId="2" fillId="0" borderId="0" xfId="0" applyFont="1"/>
    <xf numFmtId="44" fontId="2" fillId="0" borderId="0" xfId="0" applyNumberFormat="1" applyFont="1"/>
    <xf numFmtId="0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9" fontId="0" fillId="0" borderId="11" xfId="0" applyNumberFormat="1" applyBorder="1"/>
    <xf numFmtId="0" fontId="0" fillId="0" borderId="12" xfId="0" applyBorder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408F0-8305-43D8-8847-5A120BA59120}">
  <sheetPr>
    <tabColor rgb="FFFFC000"/>
  </sheetPr>
  <dimension ref="A1:S17"/>
  <sheetViews>
    <sheetView topLeftCell="C1" zoomScale="110" zoomScaleNormal="110" workbookViewId="0">
      <selection activeCell="M3" sqref="M3"/>
    </sheetView>
  </sheetViews>
  <sheetFormatPr baseColWidth="10" defaultRowHeight="15" x14ac:dyDescent="0.25"/>
  <cols>
    <col min="1" max="1" width="6.7109375" bestFit="1" customWidth="1"/>
    <col min="2" max="2" width="11.85546875" customWidth="1"/>
    <col min="3" max="3" width="9.85546875" customWidth="1"/>
    <col min="4" max="4" width="12.140625" customWidth="1"/>
    <col min="6" max="9" width="12" customWidth="1"/>
    <col min="10" max="10" width="13.140625" customWidth="1"/>
    <col min="11" max="11" width="13.85546875" customWidth="1"/>
    <col min="12" max="13" width="13.28515625" customWidth="1"/>
    <col min="14" max="14" width="12.140625" bestFit="1" customWidth="1"/>
    <col min="18" max="18" width="11.85546875" customWidth="1"/>
    <col min="19" max="19" width="13.140625" bestFit="1" customWidth="1"/>
  </cols>
  <sheetData>
    <row r="1" spans="1:19" x14ac:dyDescent="0.25">
      <c r="D1" s="1">
        <v>0.5</v>
      </c>
      <c r="E1" s="1">
        <v>1</v>
      </c>
      <c r="G1" s="3">
        <v>350</v>
      </c>
      <c r="H1" s="3">
        <v>500</v>
      </c>
      <c r="I1" s="3">
        <v>4000</v>
      </c>
      <c r="O1" s="1">
        <v>0.11</v>
      </c>
      <c r="P1" s="1">
        <v>0.06</v>
      </c>
      <c r="Q1" s="1">
        <v>0.03</v>
      </c>
    </row>
    <row r="2" spans="1:19" s="2" customFormat="1" ht="29.25" customHeight="1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16</v>
      </c>
      <c r="H2" s="2" t="s">
        <v>17</v>
      </c>
      <c r="I2" s="2" t="s">
        <v>20</v>
      </c>
      <c r="J2" s="2" t="s">
        <v>6</v>
      </c>
      <c r="K2" s="2" t="s">
        <v>7</v>
      </c>
      <c r="L2" s="2" t="s">
        <v>8</v>
      </c>
      <c r="M2" s="2" t="s">
        <v>24</v>
      </c>
      <c r="N2" s="2" t="s">
        <v>9</v>
      </c>
      <c r="O2" s="2" t="s">
        <v>10</v>
      </c>
      <c r="P2" s="2" t="s">
        <v>11</v>
      </c>
      <c r="Q2" s="2" t="s">
        <v>12</v>
      </c>
      <c r="R2" s="2" t="s">
        <v>13</v>
      </c>
      <c r="S2" s="2" t="s">
        <v>14</v>
      </c>
    </row>
    <row r="3" spans="1:19" x14ac:dyDescent="0.25">
      <c r="A3">
        <v>1001</v>
      </c>
      <c r="B3" s="3">
        <v>50000</v>
      </c>
      <c r="C3" s="3">
        <f>B3/200</f>
        <v>250</v>
      </c>
      <c r="D3">
        <v>12</v>
      </c>
      <c r="E3">
        <v>3</v>
      </c>
      <c r="F3" s="4">
        <f>C3*D3*1.5+C3*E3*2</f>
        <v>6000</v>
      </c>
      <c r="G3" s="7">
        <v>3</v>
      </c>
      <c r="H3" s="7" t="s">
        <v>18</v>
      </c>
      <c r="I3" s="7" t="s">
        <v>18</v>
      </c>
      <c r="J3" s="3">
        <v>12000</v>
      </c>
      <c r="K3" s="3">
        <v>4000</v>
      </c>
      <c r="L3" s="4">
        <f>B3+F3+J3+IF(I3="SI",$I$1,0)</f>
        <v>72000</v>
      </c>
      <c r="M3" s="4">
        <f>K3+G3*$G$1+IF(H3="SI",$H$1,0)</f>
        <v>5550</v>
      </c>
      <c r="N3" s="4">
        <f>L3+M3</f>
        <v>77550</v>
      </c>
      <c r="O3" s="4">
        <f>$L3*O$1</f>
        <v>7920</v>
      </c>
      <c r="P3" s="4">
        <f t="shared" ref="P3:Q3" si="0">$L3*P$1</f>
        <v>4320</v>
      </c>
      <c r="Q3" s="4">
        <f t="shared" si="0"/>
        <v>2160</v>
      </c>
      <c r="R3" s="4">
        <f>SUM(O3:Q3)</f>
        <v>14400</v>
      </c>
      <c r="S3" s="4">
        <f>N3-R3</f>
        <v>63150</v>
      </c>
    </row>
    <row r="4" spans="1:19" x14ac:dyDescent="0.25">
      <c r="A4">
        <v>1002</v>
      </c>
      <c r="B4" s="3">
        <v>50000</v>
      </c>
      <c r="C4" s="3">
        <f t="shared" ref="C4:C7" si="1">B4/200</f>
        <v>250</v>
      </c>
      <c r="D4">
        <v>5</v>
      </c>
      <c r="E4">
        <v>0</v>
      </c>
      <c r="F4" s="4">
        <f t="shared" ref="F4:F7" si="2">C4*D4*1.5+C4*E4*2</f>
        <v>1875</v>
      </c>
      <c r="G4" s="7">
        <v>2</v>
      </c>
      <c r="H4" s="7" t="s">
        <v>19</v>
      </c>
      <c r="I4" s="7" t="s">
        <v>18</v>
      </c>
      <c r="J4" s="3">
        <v>12000</v>
      </c>
      <c r="K4" s="3">
        <v>4000</v>
      </c>
      <c r="L4" s="4">
        <f t="shared" ref="L4:L7" si="3">B4+F4+J4+IF(I4="SI",$I$1,0)</f>
        <v>67875</v>
      </c>
      <c r="M4" s="4">
        <f t="shared" ref="M4:M7" si="4">K4+G4*$G$1+IF(H4="SI",$H$1,0)</f>
        <v>4700</v>
      </c>
      <c r="N4" s="4">
        <f t="shared" ref="N4:N7" si="5">L4+M4</f>
        <v>72575</v>
      </c>
      <c r="O4" s="4">
        <f t="shared" ref="O4:Q7" si="6">$L4*O$1</f>
        <v>7466.25</v>
      </c>
      <c r="P4" s="4">
        <f t="shared" si="6"/>
        <v>4072.5</v>
      </c>
      <c r="Q4" s="4">
        <f t="shared" si="6"/>
        <v>2036.25</v>
      </c>
      <c r="R4" s="4">
        <f t="shared" ref="R4:R7" si="7">SUM(O4:Q4)</f>
        <v>13575</v>
      </c>
      <c r="S4" s="4">
        <f t="shared" ref="S4:S7" si="8">N4-R4</f>
        <v>59000</v>
      </c>
    </row>
    <row r="5" spans="1:19" x14ac:dyDescent="0.25">
      <c r="A5">
        <v>1003</v>
      </c>
      <c r="B5" s="3">
        <v>50000</v>
      </c>
      <c r="C5" s="3">
        <f t="shared" si="1"/>
        <v>250</v>
      </c>
      <c r="D5">
        <v>0</v>
      </c>
      <c r="E5">
        <v>0</v>
      </c>
      <c r="F5" s="4">
        <f t="shared" si="2"/>
        <v>0</v>
      </c>
      <c r="G5" s="7">
        <v>0</v>
      </c>
      <c r="H5" s="7" t="s">
        <v>18</v>
      </c>
      <c r="I5" s="7" t="s">
        <v>19</v>
      </c>
      <c r="J5" s="3">
        <v>12000</v>
      </c>
      <c r="K5" s="3">
        <v>4000</v>
      </c>
      <c r="L5" s="4">
        <f t="shared" si="3"/>
        <v>62000</v>
      </c>
      <c r="M5" s="4">
        <f t="shared" si="4"/>
        <v>4500</v>
      </c>
      <c r="N5" s="4">
        <f t="shared" si="5"/>
        <v>66500</v>
      </c>
      <c r="O5" s="4">
        <f t="shared" si="6"/>
        <v>6820</v>
      </c>
      <c r="P5" s="4">
        <f t="shared" si="6"/>
        <v>3720</v>
      </c>
      <c r="Q5" s="4">
        <f t="shared" si="6"/>
        <v>1860</v>
      </c>
      <c r="R5" s="4">
        <f t="shared" si="7"/>
        <v>12400</v>
      </c>
      <c r="S5" s="4">
        <f t="shared" si="8"/>
        <v>54100</v>
      </c>
    </row>
    <row r="6" spans="1:19" x14ac:dyDescent="0.25">
      <c r="A6">
        <v>1004</v>
      </c>
      <c r="B6" s="3">
        <v>50000</v>
      </c>
      <c r="C6" s="3">
        <f t="shared" si="1"/>
        <v>250</v>
      </c>
      <c r="D6">
        <v>0</v>
      </c>
      <c r="E6">
        <v>2</v>
      </c>
      <c r="F6" s="4">
        <f t="shared" si="2"/>
        <v>1000</v>
      </c>
      <c r="G6" s="7">
        <v>1</v>
      </c>
      <c r="H6" s="7" t="s">
        <v>19</v>
      </c>
      <c r="I6" s="7" t="s">
        <v>19</v>
      </c>
      <c r="J6" s="3">
        <v>12000</v>
      </c>
      <c r="K6" s="3">
        <v>4000</v>
      </c>
      <c r="L6" s="4">
        <f t="shared" si="3"/>
        <v>63000</v>
      </c>
      <c r="M6" s="4">
        <f t="shared" si="4"/>
        <v>4350</v>
      </c>
      <c r="N6" s="4">
        <f t="shared" si="5"/>
        <v>67350</v>
      </c>
      <c r="O6" s="4">
        <f t="shared" si="6"/>
        <v>6930</v>
      </c>
      <c r="P6" s="4">
        <f t="shared" si="6"/>
        <v>3780</v>
      </c>
      <c r="Q6" s="4">
        <f t="shared" si="6"/>
        <v>1890</v>
      </c>
      <c r="R6" s="4">
        <f t="shared" si="7"/>
        <v>12600</v>
      </c>
      <c r="S6" s="4">
        <f t="shared" si="8"/>
        <v>54750</v>
      </c>
    </row>
    <row r="7" spans="1:19" x14ac:dyDescent="0.25">
      <c r="A7">
        <v>1005</v>
      </c>
      <c r="B7" s="3">
        <v>50000</v>
      </c>
      <c r="C7" s="3">
        <f t="shared" si="1"/>
        <v>250</v>
      </c>
      <c r="D7">
        <v>40</v>
      </c>
      <c r="E7">
        <v>10</v>
      </c>
      <c r="F7" s="4">
        <f t="shared" si="2"/>
        <v>20000</v>
      </c>
      <c r="G7" s="7">
        <v>1</v>
      </c>
      <c r="H7" s="7" t="s">
        <v>18</v>
      </c>
      <c r="I7" s="7" t="s">
        <v>18</v>
      </c>
      <c r="J7" s="3">
        <v>12000</v>
      </c>
      <c r="K7" s="3">
        <v>4000</v>
      </c>
      <c r="L7" s="4">
        <f t="shared" si="3"/>
        <v>86000</v>
      </c>
      <c r="M7" s="4">
        <f t="shared" si="4"/>
        <v>4850</v>
      </c>
      <c r="N7" s="4">
        <f t="shared" si="5"/>
        <v>90850</v>
      </c>
      <c r="O7" s="4">
        <f t="shared" si="6"/>
        <v>9460</v>
      </c>
      <c r="P7" s="4">
        <f t="shared" si="6"/>
        <v>5160</v>
      </c>
      <c r="Q7" s="4">
        <f t="shared" si="6"/>
        <v>2580</v>
      </c>
      <c r="R7" s="4">
        <f t="shared" si="7"/>
        <v>17200</v>
      </c>
      <c r="S7" s="4">
        <f t="shared" si="8"/>
        <v>73650</v>
      </c>
    </row>
    <row r="8" spans="1:19" x14ac:dyDescent="0.25">
      <c r="R8" s="5" t="s">
        <v>15</v>
      </c>
      <c r="S8" s="6">
        <f>SUM(S3:S7)</f>
        <v>304650</v>
      </c>
    </row>
    <row r="10" spans="1:19" x14ac:dyDescent="0.25">
      <c r="L10" t="s">
        <v>22</v>
      </c>
    </row>
    <row r="11" spans="1:19" x14ac:dyDescent="0.25">
      <c r="F11" t="s">
        <v>21</v>
      </c>
      <c r="L11">
        <f>IF(I3="SI",B3+F3+J3+$I$1,B3+F3+J3)</f>
        <v>72000</v>
      </c>
    </row>
    <row r="12" spans="1:19" x14ac:dyDescent="0.25">
      <c r="L12" t="s">
        <v>23</v>
      </c>
    </row>
    <row r="13" spans="1:19" x14ac:dyDescent="0.25">
      <c r="D13" s="4"/>
    </row>
    <row r="14" spans="1:19" x14ac:dyDescent="0.25">
      <c r="D14" s="4"/>
      <c r="M14" t="s">
        <v>25</v>
      </c>
    </row>
    <row r="15" spans="1:19" x14ac:dyDescent="0.25">
      <c r="D15" s="4"/>
    </row>
    <row r="16" spans="1:19" x14ac:dyDescent="0.25">
      <c r="D16" s="4"/>
    </row>
    <row r="17" spans="4:4" x14ac:dyDescent="0.25">
      <c r="D17" s="4"/>
    </row>
  </sheetData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A0364-462B-4941-877E-A434AC9E54E1}">
  <sheetPr>
    <tabColor theme="5"/>
  </sheetPr>
  <dimension ref="A1:L14"/>
  <sheetViews>
    <sheetView tabSelected="1" workbookViewId="0">
      <selection activeCell="H14" sqref="H14"/>
    </sheetView>
  </sheetViews>
  <sheetFormatPr baseColWidth="10" defaultRowHeight="15" x14ac:dyDescent="0.25"/>
  <cols>
    <col min="1" max="1" width="8.28515625" bestFit="1" customWidth="1"/>
    <col min="2" max="2" width="11" customWidth="1"/>
    <col min="3" max="3" width="9.7109375" customWidth="1"/>
    <col min="4" max="4" width="6.42578125" customWidth="1"/>
    <col min="5" max="5" width="10.28515625" customWidth="1"/>
    <col min="6" max="6" width="9" customWidth="1"/>
    <col min="7" max="7" width="10.140625" customWidth="1"/>
    <col min="8" max="8" width="7.85546875" customWidth="1"/>
    <col min="9" max="9" width="9.5703125" customWidth="1"/>
  </cols>
  <sheetData>
    <row r="1" spans="1:12" ht="15.75" thickBot="1" x14ac:dyDescent="0.3">
      <c r="A1" s="17"/>
      <c r="B1" s="18"/>
      <c r="C1" s="18"/>
      <c r="D1" s="24"/>
      <c r="E1" s="26" t="s">
        <v>40</v>
      </c>
      <c r="F1" s="27"/>
      <c r="G1" s="25"/>
      <c r="H1" s="18"/>
      <c r="I1" s="18"/>
      <c r="J1" s="19">
        <v>0.21</v>
      </c>
      <c r="K1" s="19">
        <v>0.14000000000000001</v>
      </c>
      <c r="L1" s="20"/>
    </row>
    <row r="2" spans="1:12" s="2" customFormat="1" ht="28.5" customHeight="1" thickBot="1" x14ac:dyDescent="0.3">
      <c r="A2" s="21" t="s">
        <v>26</v>
      </c>
      <c r="B2" s="22" t="s">
        <v>33</v>
      </c>
      <c r="C2" s="22" t="s">
        <v>36</v>
      </c>
      <c r="D2" s="22" t="s">
        <v>37</v>
      </c>
      <c r="E2" s="22" t="s">
        <v>41</v>
      </c>
      <c r="F2" s="22" t="s">
        <v>42</v>
      </c>
      <c r="G2" s="22" t="s">
        <v>43</v>
      </c>
      <c r="H2" s="22" t="s">
        <v>44</v>
      </c>
      <c r="I2" s="22" t="s">
        <v>45</v>
      </c>
      <c r="J2" s="22" t="s">
        <v>46</v>
      </c>
      <c r="K2" s="22" t="s">
        <v>47</v>
      </c>
      <c r="L2" s="23" t="s">
        <v>48</v>
      </c>
    </row>
    <row r="3" spans="1:12" x14ac:dyDescent="0.25">
      <c r="A3" s="14" t="s">
        <v>27</v>
      </c>
      <c r="B3" s="15" t="s">
        <v>34</v>
      </c>
      <c r="C3" s="15"/>
      <c r="D3" s="15"/>
      <c r="E3" s="15">
        <v>8080</v>
      </c>
      <c r="F3" s="15">
        <v>9009</v>
      </c>
      <c r="G3" s="15"/>
      <c r="H3" s="15"/>
      <c r="I3" s="15"/>
      <c r="J3" s="15"/>
      <c r="K3" s="15"/>
      <c r="L3" s="16"/>
    </row>
    <row r="4" spans="1:12" x14ac:dyDescent="0.25">
      <c r="A4" s="9" t="s">
        <v>28</v>
      </c>
      <c r="B4" s="8" t="s">
        <v>35</v>
      </c>
      <c r="C4" s="8"/>
      <c r="D4" s="8"/>
      <c r="E4" s="8">
        <v>5050</v>
      </c>
      <c r="F4" s="8">
        <v>6060</v>
      </c>
      <c r="G4" s="8"/>
      <c r="H4" s="8"/>
      <c r="I4" s="8"/>
      <c r="J4" s="8"/>
      <c r="K4" s="8"/>
      <c r="L4" s="10"/>
    </row>
    <row r="5" spans="1:12" x14ac:dyDescent="0.25">
      <c r="A5" s="9" t="s">
        <v>29</v>
      </c>
      <c r="B5" s="8" t="s">
        <v>34</v>
      </c>
      <c r="C5" s="8"/>
      <c r="D5" s="8"/>
      <c r="E5" s="8">
        <v>6060</v>
      </c>
      <c r="F5" s="8">
        <v>7020</v>
      </c>
      <c r="G5" s="8"/>
      <c r="H5" s="8"/>
      <c r="I5" s="8"/>
      <c r="J5" s="8"/>
      <c r="K5" s="8"/>
      <c r="L5" s="10"/>
    </row>
    <row r="6" spans="1:12" x14ac:dyDescent="0.25">
      <c r="A6" s="9" t="s">
        <v>30</v>
      </c>
      <c r="B6" s="8" t="s">
        <v>35</v>
      </c>
      <c r="C6" s="8"/>
      <c r="D6" s="8"/>
      <c r="E6" s="8">
        <v>7070</v>
      </c>
      <c r="F6" s="8">
        <v>8120</v>
      </c>
      <c r="G6" s="8"/>
      <c r="H6" s="8"/>
      <c r="I6" s="8"/>
      <c r="J6" s="8"/>
      <c r="K6" s="8"/>
      <c r="L6" s="10"/>
    </row>
    <row r="7" spans="1:12" x14ac:dyDescent="0.25">
      <c r="A7" s="9" t="s">
        <v>31</v>
      </c>
      <c r="B7" s="8" t="s">
        <v>34</v>
      </c>
      <c r="C7" s="8"/>
      <c r="D7" s="8"/>
      <c r="E7" s="8">
        <v>2020</v>
      </c>
      <c r="F7" s="8">
        <v>2220</v>
      </c>
      <c r="G7" s="8"/>
      <c r="H7" s="8"/>
      <c r="I7" s="8"/>
      <c r="J7" s="8"/>
      <c r="K7" s="8"/>
      <c r="L7" s="10"/>
    </row>
    <row r="8" spans="1:12" ht="15.75" thickBot="1" x14ac:dyDescent="0.3">
      <c r="A8" s="11" t="s">
        <v>32</v>
      </c>
      <c r="B8" s="12" t="s">
        <v>35</v>
      </c>
      <c r="C8" s="12"/>
      <c r="D8" s="12"/>
      <c r="E8" s="12">
        <v>3030</v>
      </c>
      <c r="F8" s="12">
        <v>3333</v>
      </c>
      <c r="G8" s="12"/>
      <c r="H8" s="12"/>
      <c r="I8" s="12"/>
      <c r="J8" s="12"/>
      <c r="K8" s="12"/>
      <c r="L8" s="13"/>
    </row>
    <row r="13" spans="1:12" x14ac:dyDescent="0.25">
      <c r="A13" t="s">
        <v>39</v>
      </c>
    </row>
    <row r="14" spans="1:12" x14ac:dyDescent="0.25">
      <c r="A14" t="s">
        <v>38</v>
      </c>
    </row>
  </sheetData>
  <mergeCells count="1">
    <mergeCell ref="E1:F1"/>
  </mergeCells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Liquidación de sueldos</vt:lpstr>
      <vt:lpstr>Cooperatica Electrica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Intercrios</dc:creator>
  <cp:lastModifiedBy>Carlos Intercrios</cp:lastModifiedBy>
  <dcterms:created xsi:type="dcterms:W3CDTF">2022-05-16T13:06:38Z</dcterms:created>
  <dcterms:modified xsi:type="dcterms:W3CDTF">2022-05-16T13:42:14Z</dcterms:modified>
</cp:coreProperties>
</file>
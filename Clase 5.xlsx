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\"/>
    </mc:Choice>
  </mc:AlternateContent>
  <xr:revisionPtr revIDLastSave="0" documentId="13_ncr:1_{8A8B3010-9D3D-406E-B898-21792357EA44}" xr6:coauthVersionLast="47" xr6:coauthVersionMax="47" xr10:uidLastSave="{00000000-0000-0000-0000-000000000000}"/>
  <bookViews>
    <workbookView xWindow="-120" yWindow="-120" windowWidth="17520" windowHeight="12600" activeTab="2" xr2:uid="{EBD33A9A-2FD4-4CA0-957A-08ECE4EE31F7}"/>
  </bookViews>
  <sheets>
    <sheet name="Hotel Turistico" sheetId="1" r:id="rId1"/>
    <sheet name="Liquidación de Sueldos" sheetId="2" r:id="rId2"/>
    <sheet name="Fast Burgu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P7" i="2"/>
  <c r="C7" i="2"/>
  <c r="F7" i="2" s="1"/>
  <c r="P6" i="2"/>
  <c r="C6" i="2"/>
  <c r="F6" i="2" s="1"/>
  <c r="P5" i="2"/>
  <c r="C5" i="2"/>
  <c r="F5" i="2" s="1"/>
  <c r="P4" i="2"/>
  <c r="C4" i="2"/>
  <c r="F4" i="2" s="1"/>
  <c r="P3" i="2"/>
  <c r="C3" i="2"/>
  <c r="F3" i="2" s="1"/>
  <c r="J1" i="2"/>
  <c r="H3" i="1"/>
  <c r="H4" i="1"/>
  <c r="H9" i="1"/>
  <c r="D3" i="1"/>
  <c r="D4" i="1"/>
  <c r="D5" i="1"/>
  <c r="H5" i="1" s="1"/>
  <c r="D6" i="1"/>
  <c r="H6" i="1" s="1"/>
  <c r="D7" i="1"/>
  <c r="H7" i="1" s="1"/>
  <c r="D8" i="1"/>
  <c r="H8" i="1" s="1"/>
  <c r="D9" i="1"/>
  <c r="K3" i="2" l="1"/>
  <c r="L3" i="2" s="1"/>
  <c r="O3" i="2" s="1"/>
  <c r="K4" i="2"/>
  <c r="L4" i="2" s="1"/>
  <c r="O4" i="2" s="1"/>
  <c r="K5" i="2"/>
  <c r="L5" i="2" s="1"/>
  <c r="O5" i="2" s="1"/>
  <c r="K6" i="2"/>
  <c r="L6" i="2" s="1"/>
  <c r="O6" i="2" s="1"/>
  <c r="K7" i="2"/>
  <c r="L7" i="2" s="1"/>
  <c r="O7" i="2" s="1"/>
  <c r="T3" i="2"/>
  <c r="S3" i="2"/>
  <c r="R3" i="2"/>
  <c r="U3" i="2" s="1"/>
  <c r="Q3" i="2"/>
  <c r="V3" i="2" s="1"/>
  <c r="T4" i="2"/>
  <c r="S4" i="2"/>
  <c r="R4" i="2"/>
  <c r="U4" i="2" s="1"/>
  <c r="Q4" i="2"/>
  <c r="V4" i="2" s="1"/>
  <c r="T5" i="2"/>
  <c r="S5" i="2"/>
  <c r="R5" i="2"/>
  <c r="U5" i="2" s="1"/>
  <c r="Q5" i="2"/>
  <c r="V5" i="2" s="1"/>
  <c r="T6" i="2"/>
  <c r="S6" i="2"/>
  <c r="R6" i="2"/>
  <c r="U6" i="2" s="1"/>
  <c r="Q6" i="2"/>
  <c r="V6" i="2" s="1"/>
  <c r="T7" i="2"/>
  <c r="S7" i="2"/>
  <c r="R7" i="2"/>
  <c r="U7" i="2" s="1"/>
  <c r="Q7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Intercrios</author>
  </authors>
  <commentList>
    <comment ref="G2" authorId="0" shapeId="0" xr:uid="{89B81059-A0A0-4BD6-8CB4-AAC271B84A50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no Remunerativa</t>
        </r>
      </text>
    </comment>
    <comment ref="H2" authorId="0" shapeId="0" xr:uid="{48A6AFE5-73ED-4B5C-A55B-1B1A41EB29BA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no Remunerativa</t>
        </r>
      </text>
    </comment>
    <comment ref="I2" authorId="0" shapeId="0" xr:uid="{CF7262C6-4D65-4687-9137-38D428752782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Remunerativa</t>
        </r>
      </text>
    </comment>
    <comment ref="L2" authorId="0" shapeId="0" xr:uid="{AA337827-7ABE-43E8-9EFC-DF50E672CE87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Remunerativa
</t>
        </r>
      </text>
    </comment>
  </commentList>
</comments>
</file>

<file path=xl/sharedStrings.xml><?xml version="1.0" encoding="utf-8"?>
<sst xmlns="http://schemas.openxmlformats.org/spreadsheetml/2006/main" count="83" uniqueCount="56">
  <si>
    <t>Pasajeros</t>
  </si>
  <si>
    <t>Check In</t>
  </si>
  <si>
    <t>Check out</t>
  </si>
  <si>
    <t>Cantidad Noches</t>
  </si>
  <si>
    <t>Resto</t>
  </si>
  <si>
    <t>Frigo Bar</t>
  </si>
  <si>
    <t>Extras</t>
  </si>
  <si>
    <t>Total a pagar</t>
  </si>
  <si>
    <t>P01</t>
  </si>
  <si>
    <t>P02</t>
  </si>
  <si>
    <t>P03</t>
  </si>
  <si>
    <t>P04</t>
  </si>
  <si>
    <t>P05</t>
  </si>
  <si>
    <t>P06</t>
  </si>
  <si>
    <t>P07</t>
  </si>
  <si>
    <t>Formula</t>
  </si>
  <si>
    <t>Pendiente terminar antigüedad Relación laboral</t>
  </si>
  <si>
    <t>Pendiente terminar hotel turistico</t>
  </si>
  <si>
    <t>Legajo</t>
  </si>
  <si>
    <t>Sueldo Básico</t>
  </si>
  <si>
    <t>Valor Hora</t>
  </si>
  <si>
    <t>Horas Extras Simples</t>
  </si>
  <si>
    <t xml:space="preserve">Horas Extras Dobles </t>
  </si>
  <si>
    <t>Total $ Horas Extras</t>
  </si>
  <si>
    <t>Hijos</t>
  </si>
  <si>
    <t>Conyugue</t>
  </si>
  <si>
    <t>Presentismo</t>
  </si>
  <si>
    <t>Fecha Ingreso</t>
  </si>
  <si>
    <t>Antigüedad</t>
  </si>
  <si>
    <t>Plus x Antigüedad</t>
  </si>
  <si>
    <t>Suma Remunerativa</t>
  </si>
  <si>
    <t>Suma No Remunerativa</t>
  </si>
  <si>
    <t>Total Remunerativo</t>
  </si>
  <si>
    <t>Total No Remunerativo</t>
  </si>
  <si>
    <t>Sueldo Bruto</t>
  </si>
  <si>
    <t>Jubilación</t>
  </si>
  <si>
    <t>Obra Social</t>
  </si>
  <si>
    <t>Aporte Sindical</t>
  </si>
  <si>
    <t>Total Descuentos</t>
  </si>
  <si>
    <t>Sueldo Neto</t>
  </si>
  <si>
    <t>SI</t>
  </si>
  <si>
    <t>NO</t>
  </si>
  <si>
    <t>R=ENTERO(DIAS360(C1;A1)/360)</t>
  </si>
  <si>
    <t xml:space="preserve"> =ENTERO(DIAS360(J3;$J$1)/360)</t>
  </si>
  <si>
    <t xml:space="preserve"> =K3*$L$1*B3</t>
  </si>
  <si>
    <t xml:space="preserve"> =B3+F3+M3+SI(I3="SI";$I$1;0)+L3</t>
  </si>
  <si>
    <t>Combos</t>
  </si>
  <si>
    <t>Precio</t>
  </si>
  <si>
    <t>Agrandado</t>
  </si>
  <si>
    <t>Total $</t>
  </si>
  <si>
    <t>C1</t>
  </si>
  <si>
    <t>C3</t>
  </si>
  <si>
    <t>C2</t>
  </si>
  <si>
    <t>C4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</si>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</sst>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NumberFormat="1" applyFill="1"/>
    <xf numFmtId="44" fontId="0" fillId="0" borderId="0" xfId="0" applyNumberFormat="1" applyFill="1"/>
    <xf numFmtId="9" fontId="0" fillId="0" borderId="0" xfId="0" applyNumberFormat="1"/>
    <xf numFmtId="14" fontId="0" fillId="0" borderId="0" xfId="1" applyNumberFormat="1" applyFont="1"/>
    <xf numFmtId="9" fontId="0" fillId="0" borderId="0" xfId="1" applyNumberFormat="1" applyFont="1"/>
    <xf numFmtId="44" fontId="0" fillId="0" borderId="0" xfId="0" applyNumberFormat="1"/>
    <xf numFmtId="44" fontId="0" fillId="0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8074-D33B-4CBC-8753-B989039E4371}">
  <sheetPr>
    <tabColor theme="7" tint="-0.249977111117893"/>
  </sheetPr>
  <dimension ref="A1:H17"/>
  <sheetViews>
    <sheetView zoomScale="120" zoomScaleNormal="120" workbookViewId="0">
      <selection activeCell="B18" sqref="B18"/>
    </sheetView>
  </sheetViews>
  <sheetFormatPr baseColWidth="10" defaultRowHeight="15" x14ac:dyDescent="0.25"/>
  <cols>
    <col min="4" max="4" width="13.140625" customWidth="1"/>
    <col min="8" max="8" width="18" customWidth="1"/>
  </cols>
  <sheetData>
    <row r="1" spans="1:8" x14ac:dyDescent="0.25">
      <c r="D1" s="1">
        <v>6000</v>
      </c>
    </row>
    <row r="2" spans="1:8" s="4" customFormat="1" ht="30.7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t="s">
        <v>8</v>
      </c>
      <c r="B3" s="2">
        <v>44697</v>
      </c>
      <c r="D3" s="5">
        <f>IF(C3="",0,C3-B3)</f>
        <v>0</v>
      </c>
      <c r="E3" s="1"/>
      <c r="F3" s="1"/>
      <c r="G3" s="1"/>
      <c r="H3" s="6">
        <f>D3*$D$1+E3+F3+G3</f>
        <v>0</v>
      </c>
    </row>
    <row r="4" spans="1:8" x14ac:dyDescent="0.25">
      <c r="A4" t="s">
        <v>9</v>
      </c>
      <c r="B4" s="2">
        <v>44697</v>
      </c>
      <c r="C4" s="2"/>
      <c r="D4" s="5">
        <f t="shared" ref="D4:D9" si="0">IF(C4="",0,C4-B4)</f>
        <v>0</v>
      </c>
      <c r="E4" s="1"/>
      <c r="F4" s="1">
        <v>300</v>
      </c>
      <c r="G4" s="1"/>
      <c r="H4" s="6">
        <f t="shared" ref="H4:H9" si="1">D4*$D$1+E4+F4+G4</f>
        <v>300</v>
      </c>
    </row>
    <row r="5" spans="1:8" x14ac:dyDescent="0.25">
      <c r="A5" t="s">
        <v>10</v>
      </c>
      <c r="B5" s="2">
        <v>44697</v>
      </c>
      <c r="C5" s="2"/>
      <c r="D5" s="5">
        <f t="shared" si="0"/>
        <v>0</v>
      </c>
      <c r="E5" s="1">
        <v>2500</v>
      </c>
      <c r="F5" s="1"/>
      <c r="G5" s="1"/>
      <c r="H5" s="6">
        <f t="shared" si="1"/>
        <v>2500</v>
      </c>
    </row>
    <row r="6" spans="1:8" x14ac:dyDescent="0.25">
      <c r="A6" t="s">
        <v>11</v>
      </c>
      <c r="B6" s="2">
        <v>44697</v>
      </c>
      <c r="D6" s="5">
        <f t="shared" si="0"/>
        <v>0</v>
      </c>
      <c r="E6" s="1"/>
      <c r="F6" s="1"/>
      <c r="G6" s="1">
        <v>2000</v>
      </c>
      <c r="H6" s="6">
        <f t="shared" si="1"/>
        <v>2000</v>
      </c>
    </row>
    <row r="7" spans="1:8" x14ac:dyDescent="0.25">
      <c r="A7" t="s">
        <v>12</v>
      </c>
      <c r="B7" s="2">
        <v>44697</v>
      </c>
      <c r="C7" s="2"/>
      <c r="D7" s="5">
        <f t="shared" si="0"/>
        <v>0</v>
      </c>
      <c r="E7" s="1"/>
      <c r="F7" s="1"/>
      <c r="G7" s="1">
        <v>6000</v>
      </c>
      <c r="H7" s="6">
        <f t="shared" si="1"/>
        <v>6000</v>
      </c>
    </row>
    <row r="8" spans="1:8" x14ac:dyDescent="0.25">
      <c r="A8" t="s">
        <v>13</v>
      </c>
      <c r="B8" s="2">
        <v>44697</v>
      </c>
      <c r="C8" s="2"/>
      <c r="D8" s="5">
        <f t="shared" si="0"/>
        <v>0</v>
      </c>
      <c r="E8" s="1"/>
      <c r="F8" s="1">
        <v>800</v>
      </c>
      <c r="G8" s="1"/>
      <c r="H8" s="6">
        <f t="shared" si="1"/>
        <v>800</v>
      </c>
    </row>
    <row r="9" spans="1:8" x14ac:dyDescent="0.25">
      <c r="A9" t="s">
        <v>14</v>
      </c>
      <c r="B9" s="2">
        <v>44697</v>
      </c>
      <c r="D9" s="5">
        <f t="shared" si="0"/>
        <v>0</v>
      </c>
      <c r="E9" s="1"/>
      <c r="F9" s="1"/>
      <c r="G9" s="1"/>
      <c r="H9" s="6">
        <f t="shared" si="1"/>
        <v>0</v>
      </c>
    </row>
    <row r="10" spans="1:8" x14ac:dyDescent="0.25">
      <c r="D10" t="s">
        <v>15</v>
      </c>
      <c r="H10" t="s">
        <v>15</v>
      </c>
    </row>
    <row r="16" spans="1:8" x14ac:dyDescent="0.25">
      <c r="A16" s="3" t="s">
        <v>16</v>
      </c>
      <c r="B16" s="3"/>
      <c r="C16" s="3"/>
      <c r="D16" s="3"/>
      <c r="E16" s="3"/>
      <c r="F16" s="3"/>
    </row>
    <row r="17" spans="1:6" x14ac:dyDescent="0.25">
      <c r="A17" s="3" t="s">
        <v>17</v>
      </c>
      <c r="B17" s="3"/>
      <c r="C17" s="3"/>
      <c r="D17" s="3"/>
      <c r="E17" s="3"/>
      <c r="F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952A-92D4-440E-9CA3-72CD9B2CB895}">
  <sheetPr>
    <tabColor theme="7" tint="-0.249977111117893"/>
  </sheetPr>
  <dimension ref="A1:V11"/>
  <sheetViews>
    <sheetView workbookViewId="0">
      <selection activeCell="O12" sqref="O12"/>
    </sheetView>
  </sheetViews>
  <sheetFormatPr baseColWidth="10" defaultRowHeight="15" x14ac:dyDescent="0.25"/>
  <cols>
    <col min="2" max="2" width="13.140625" bestFit="1" customWidth="1"/>
    <col min="6" max="6" width="18.140625" bestFit="1" customWidth="1"/>
    <col min="13" max="13" width="18.85546875" bestFit="1" customWidth="1"/>
    <col min="15" max="15" width="18.5703125" bestFit="1" customWidth="1"/>
    <col min="17" max="17" width="12.42578125" bestFit="1" customWidth="1"/>
    <col min="21" max="21" width="16.28515625" bestFit="1" customWidth="1"/>
    <col min="22" max="22" width="12" bestFit="1" customWidth="1"/>
  </cols>
  <sheetData>
    <row r="1" spans="1:22" x14ac:dyDescent="0.25">
      <c r="D1" s="7">
        <v>0.5</v>
      </c>
      <c r="E1" s="7">
        <v>1</v>
      </c>
      <c r="G1" s="1">
        <v>350</v>
      </c>
      <c r="H1" s="1">
        <v>500</v>
      </c>
      <c r="I1" s="1">
        <v>4000</v>
      </c>
      <c r="J1" s="8">
        <f ca="1">TODAY()</f>
        <v>44704</v>
      </c>
      <c r="K1" s="8"/>
      <c r="L1" s="9">
        <v>0.01</v>
      </c>
      <c r="R1" s="7">
        <v>0.11</v>
      </c>
      <c r="S1" s="7">
        <v>0.06</v>
      </c>
      <c r="T1" s="7">
        <v>0.03</v>
      </c>
    </row>
    <row r="2" spans="1:22" s="4" customFormat="1" ht="29.25" customHeigh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</row>
    <row r="3" spans="1:22" x14ac:dyDescent="0.25">
      <c r="A3">
        <v>1001</v>
      </c>
      <c r="B3" s="1">
        <v>50000</v>
      </c>
      <c r="C3" s="1">
        <f>B3/200</f>
        <v>250</v>
      </c>
      <c r="D3">
        <v>12</v>
      </c>
      <c r="E3">
        <v>3</v>
      </c>
      <c r="F3" s="10">
        <f>C3*D3*1.5+C3*E3*2</f>
        <v>6000</v>
      </c>
      <c r="G3">
        <v>3</v>
      </c>
      <c r="H3" t="s">
        <v>40</v>
      </c>
      <c r="I3" t="s">
        <v>40</v>
      </c>
      <c r="J3" s="2">
        <v>38509</v>
      </c>
      <c r="K3" s="5">
        <f ca="1">INT(DAYS360(J3,$J$1)/360)</f>
        <v>16</v>
      </c>
      <c r="L3" s="11">
        <f ca="1">K3*$L$1*B3</f>
        <v>8000</v>
      </c>
      <c r="M3" s="1">
        <v>12000</v>
      </c>
      <c r="N3" s="1">
        <v>4000</v>
      </c>
      <c r="O3" s="10">
        <f ca="1">B3+F3+M3+IF(I3="SI",$I$1,0)+L3</f>
        <v>80000</v>
      </c>
      <c r="P3" s="10">
        <f>N3+G3*$G$1+IF(H3="SI",$H$1,0)</f>
        <v>5550</v>
      </c>
      <c r="Q3" s="10">
        <f ca="1">O3+P3</f>
        <v>85550</v>
      </c>
      <c r="R3" s="10">
        <f ca="1">$O3*R$1</f>
        <v>8800</v>
      </c>
      <c r="S3" s="10">
        <f t="shared" ref="S3:T3" ca="1" si="0">$O3*S$1</f>
        <v>4800</v>
      </c>
      <c r="T3" s="10">
        <f t="shared" ca="1" si="0"/>
        <v>2400</v>
      </c>
      <c r="U3" s="10">
        <f ca="1">SUM(R3:T3)</f>
        <v>16000</v>
      </c>
      <c r="V3" s="10">
        <f ca="1">Q3-U3</f>
        <v>69550</v>
      </c>
    </row>
    <row r="4" spans="1:22" x14ac:dyDescent="0.25">
      <c r="A4">
        <v>1002</v>
      </c>
      <c r="B4" s="1">
        <v>50000</v>
      </c>
      <c r="C4" s="1">
        <f t="shared" ref="C4:C7" si="1">B4/200</f>
        <v>250</v>
      </c>
      <c r="D4">
        <v>5</v>
      </c>
      <c r="E4">
        <v>0</v>
      </c>
      <c r="F4" s="10">
        <f t="shared" ref="F4:F7" si="2">C4*D4*1.5+C4*E4*2</f>
        <v>1875</v>
      </c>
      <c r="G4">
        <v>2</v>
      </c>
      <c r="H4" t="s">
        <v>41</v>
      </c>
      <c r="I4" t="s">
        <v>40</v>
      </c>
      <c r="J4" s="2">
        <v>38969</v>
      </c>
      <c r="K4" s="5">
        <f t="shared" ref="K4:K7" ca="1" si="3">INT(DAYS360(J4,$J$1)/360)</f>
        <v>15</v>
      </c>
      <c r="L4" s="11">
        <f t="shared" ref="L4:L7" ca="1" si="4">K4*$L$1*B4</f>
        <v>7500</v>
      </c>
      <c r="M4" s="1">
        <v>12000</v>
      </c>
      <c r="N4" s="1">
        <v>4000</v>
      </c>
      <c r="O4" s="10">
        <f t="shared" ref="O4:O7" ca="1" si="5">B4+F4+M4+IF(I4="SI",$I$1,0)+L4</f>
        <v>75375</v>
      </c>
      <c r="P4" s="10">
        <f t="shared" ref="P4:P7" si="6">N4+G4*$G$1+IF(H4="SI",$H$1,0)</f>
        <v>4700</v>
      </c>
      <c r="Q4" s="10">
        <f t="shared" ref="Q4:Q7" ca="1" si="7">O4+P4</f>
        <v>80075</v>
      </c>
      <c r="R4" s="10">
        <f t="shared" ref="R4:T7" ca="1" si="8">$O4*R$1</f>
        <v>8291.25</v>
      </c>
      <c r="S4" s="10">
        <f t="shared" ca="1" si="8"/>
        <v>4522.5</v>
      </c>
      <c r="T4" s="10">
        <f t="shared" ca="1" si="8"/>
        <v>2261.25</v>
      </c>
      <c r="U4" s="10">
        <f t="shared" ref="U4:U7" ca="1" si="9">SUM(R4:T4)</f>
        <v>15075</v>
      </c>
      <c r="V4" s="10">
        <f t="shared" ref="V4:V7" ca="1" si="10">Q4-U4</f>
        <v>65000</v>
      </c>
    </row>
    <row r="5" spans="1:22" x14ac:dyDescent="0.25">
      <c r="A5">
        <v>1003</v>
      </c>
      <c r="B5" s="1">
        <v>50000</v>
      </c>
      <c r="C5" s="1">
        <f t="shared" si="1"/>
        <v>250</v>
      </c>
      <c r="D5">
        <v>0</v>
      </c>
      <c r="E5">
        <v>0</v>
      </c>
      <c r="F5" s="10">
        <f t="shared" si="2"/>
        <v>0</v>
      </c>
      <c r="G5">
        <v>0</v>
      </c>
      <c r="H5" t="s">
        <v>40</v>
      </c>
      <c r="I5" t="s">
        <v>41</v>
      </c>
      <c r="J5" s="2">
        <v>40096</v>
      </c>
      <c r="K5" s="5">
        <f t="shared" ca="1" si="3"/>
        <v>12</v>
      </c>
      <c r="L5" s="11">
        <f t="shared" ca="1" si="4"/>
        <v>6000</v>
      </c>
      <c r="M5" s="1">
        <v>12000</v>
      </c>
      <c r="N5" s="1">
        <v>4000</v>
      </c>
      <c r="O5" s="10">
        <f t="shared" ca="1" si="5"/>
        <v>68000</v>
      </c>
      <c r="P5" s="10">
        <f t="shared" si="6"/>
        <v>4500</v>
      </c>
      <c r="Q5" s="10">
        <f t="shared" ca="1" si="7"/>
        <v>72500</v>
      </c>
      <c r="R5" s="10">
        <f t="shared" ca="1" si="8"/>
        <v>7480</v>
      </c>
      <c r="S5" s="10">
        <f t="shared" ca="1" si="8"/>
        <v>4080</v>
      </c>
      <c r="T5" s="10">
        <f t="shared" ca="1" si="8"/>
        <v>2040</v>
      </c>
      <c r="U5" s="10">
        <f t="shared" ca="1" si="9"/>
        <v>13600</v>
      </c>
      <c r="V5" s="10">
        <f t="shared" ca="1" si="10"/>
        <v>58900</v>
      </c>
    </row>
    <row r="6" spans="1:22" x14ac:dyDescent="0.25">
      <c r="A6">
        <v>1004</v>
      </c>
      <c r="B6" s="1">
        <v>50000</v>
      </c>
      <c r="C6" s="1">
        <f t="shared" si="1"/>
        <v>250</v>
      </c>
      <c r="D6">
        <v>0</v>
      </c>
      <c r="E6">
        <v>2</v>
      </c>
      <c r="F6" s="10">
        <f t="shared" si="2"/>
        <v>1000</v>
      </c>
      <c r="G6">
        <v>1</v>
      </c>
      <c r="H6" t="s">
        <v>41</v>
      </c>
      <c r="I6" t="s">
        <v>41</v>
      </c>
      <c r="J6" s="2">
        <v>40858</v>
      </c>
      <c r="K6" s="5">
        <f t="shared" ca="1" si="3"/>
        <v>10</v>
      </c>
      <c r="L6" s="11">
        <f t="shared" ca="1" si="4"/>
        <v>5000</v>
      </c>
      <c r="M6" s="1">
        <v>12000</v>
      </c>
      <c r="N6" s="1">
        <v>4000</v>
      </c>
      <c r="O6" s="10">
        <f t="shared" ca="1" si="5"/>
        <v>68000</v>
      </c>
      <c r="P6" s="10">
        <f t="shared" si="6"/>
        <v>4350</v>
      </c>
      <c r="Q6" s="10">
        <f t="shared" ca="1" si="7"/>
        <v>72350</v>
      </c>
      <c r="R6" s="10">
        <f t="shared" ca="1" si="8"/>
        <v>7480</v>
      </c>
      <c r="S6" s="10">
        <f t="shared" ca="1" si="8"/>
        <v>4080</v>
      </c>
      <c r="T6" s="10">
        <f t="shared" ca="1" si="8"/>
        <v>2040</v>
      </c>
      <c r="U6" s="10">
        <f t="shared" ca="1" si="9"/>
        <v>13600</v>
      </c>
      <c r="V6" s="10">
        <f t="shared" ca="1" si="10"/>
        <v>58750</v>
      </c>
    </row>
    <row r="7" spans="1:22" x14ac:dyDescent="0.25">
      <c r="A7">
        <v>1005</v>
      </c>
      <c r="B7" s="1">
        <v>50000</v>
      </c>
      <c r="C7" s="1">
        <f t="shared" si="1"/>
        <v>250</v>
      </c>
      <c r="D7">
        <v>40</v>
      </c>
      <c r="E7">
        <v>10</v>
      </c>
      <c r="F7" s="10">
        <f t="shared" si="2"/>
        <v>20000</v>
      </c>
      <c r="G7">
        <v>1</v>
      </c>
      <c r="H7" t="s">
        <v>40</v>
      </c>
      <c r="I7" t="s">
        <v>40</v>
      </c>
      <c r="J7" s="2">
        <v>42350</v>
      </c>
      <c r="K7" s="5">
        <f t="shared" ca="1" si="3"/>
        <v>6</v>
      </c>
      <c r="L7" s="11">
        <f t="shared" ca="1" si="4"/>
        <v>3000</v>
      </c>
      <c r="M7" s="1">
        <v>12000</v>
      </c>
      <c r="N7" s="1">
        <v>4000</v>
      </c>
      <c r="O7" s="10">
        <f t="shared" ca="1" si="5"/>
        <v>89000</v>
      </c>
      <c r="P7" s="10">
        <f t="shared" si="6"/>
        <v>4850</v>
      </c>
      <c r="Q7" s="10">
        <f t="shared" ca="1" si="7"/>
        <v>93850</v>
      </c>
      <c r="R7" s="10">
        <f t="shared" ca="1" si="8"/>
        <v>9790</v>
      </c>
      <c r="S7" s="10">
        <f t="shared" ca="1" si="8"/>
        <v>5340</v>
      </c>
      <c r="T7" s="10">
        <f t="shared" ca="1" si="8"/>
        <v>2670</v>
      </c>
      <c r="U7" s="10">
        <f t="shared" ca="1" si="9"/>
        <v>17800</v>
      </c>
      <c r="V7" s="10">
        <f t="shared" ca="1" si="10"/>
        <v>76050</v>
      </c>
    </row>
    <row r="9" spans="1:22" x14ac:dyDescent="0.25">
      <c r="K9" t="s">
        <v>43</v>
      </c>
    </row>
    <row r="10" spans="1:22" x14ac:dyDescent="0.25">
      <c r="L10" t="s">
        <v>44</v>
      </c>
    </row>
    <row r="11" spans="1:22" x14ac:dyDescent="0.25">
      <c r="A11" t="s">
        <v>42</v>
      </c>
      <c r="O11" t="s">
        <v>45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6F4A-BB69-482B-AFA1-A32B25A6C556}">
  <dimension ref="A1:D14"/>
  <sheetViews>
    <sheetView tabSelected="1" workbookViewId="0">
      <selection activeCell="D4" sqref="D4"/>
    </sheetView>
  </sheetViews>
  <sheetFormatPr baseColWidth="10" defaultRowHeight="15" x14ac:dyDescent="0.25"/>
  <sheetData>
    <row r="1" spans="1:4" x14ac:dyDescent="0.25">
      <c r="C1" s="1">
        <v>300</v>
      </c>
    </row>
    <row r="2" spans="1:4" x14ac:dyDescent="0.25">
      <c r="A2" t="s">
        <v>46</v>
      </c>
      <c r="B2" t="s">
        <v>47</v>
      </c>
      <c r="C2" t="s">
        <v>48</v>
      </c>
      <c r="D2" t="s">
        <v>49</v>
      </c>
    </row>
    <row r="3" spans="1:4" x14ac:dyDescent="0.25">
      <c r="A3" t="s">
        <v>50</v>
      </c>
      <c r="B3" s="1">
        <v>1000</v>
      </c>
      <c r="C3" t="s">
        <v>54</v>
      </c>
      <c r="D3" s="10">
        <f>B3+IF(C3="si",$C$1,0)</f>
        <v>1300</v>
      </c>
    </row>
    <row r="4" spans="1:4" x14ac:dyDescent="0.25">
      <c r="A4" t="s">
        <v>51</v>
      </c>
      <c r="B4" s="1">
        <v>1000</v>
      </c>
      <c r="C4" t="s">
        <v>55</v>
      </c>
      <c r="D4" s="10">
        <f t="shared" ref="D4:D14" si="0">B4+IF(C4="si",$C$1,0)</f>
        <v>1000</v>
      </c>
    </row>
    <row r="5" spans="1:4" x14ac:dyDescent="0.25">
      <c r="A5" t="s">
        <v>52</v>
      </c>
      <c r="B5" s="1">
        <v>1000</v>
      </c>
      <c r="C5" t="s">
        <v>54</v>
      </c>
      <c r="D5" s="10">
        <f t="shared" si="0"/>
        <v>1300</v>
      </c>
    </row>
    <row r="6" spans="1:4" x14ac:dyDescent="0.25">
      <c r="A6" t="s">
        <v>50</v>
      </c>
      <c r="B6" s="1">
        <v>1000</v>
      </c>
      <c r="C6" t="s">
        <v>55</v>
      </c>
      <c r="D6" s="10">
        <f t="shared" si="0"/>
        <v>1000</v>
      </c>
    </row>
    <row r="7" spans="1:4" x14ac:dyDescent="0.25">
      <c r="A7" t="s">
        <v>52</v>
      </c>
      <c r="B7" s="1">
        <v>1000</v>
      </c>
      <c r="C7" t="s">
        <v>54</v>
      </c>
      <c r="D7" s="10">
        <f t="shared" si="0"/>
        <v>1300</v>
      </c>
    </row>
    <row r="8" spans="1:4" x14ac:dyDescent="0.25">
      <c r="A8" t="s">
        <v>51</v>
      </c>
      <c r="B8" s="1">
        <v>1000</v>
      </c>
      <c r="C8" t="s">
        <v>55</v>
      </c>
      <c r="D8" s="10">
        <f t="shared" si="0"/>
        <v>1000</v>
      </c>
    </row>
    <row r="9" spans="1:4" x14ac:dyDescent="0.25">
      <c r="A9" t="s">
        <v>53</v>
      </c>
      <c r="B9" s="1">
        <v>1000</v>
      </c>
      <c r="C9" t="s">
        <v>54</v>
      </c>
      <c r="D9" s="10">
        <f t="shared" si="0"/>
        <v>1300</v>
      </c>
    </row>
    <row r="10" spans="1:4" x14ac:dyDescent="0.25">
      <c r="A10" t="s">
        <v>52</v>
      </c>
      <c r="B10" s="1">
        <v>1000</v>
      </c>
      <c r="C10" t="s">
        <v>55</v>
      </c>
      <c r="D10" s="10">
        <f t="shared" si="0"/>
        <v>1000</v>
      </c>
    </row>
    <row r="11" spans="1:4" x14ac:dyDescent="0.25">
      <c r="A11" t="s">
        <v>50</v>
      </c>
      <c r="B11" s="1">
        <v>1000</v>
      </c>
      <c r="C11" t="s">
        <v>54</v>
      </c>
      <c r="D11" s="10">
        <f t="shared" si="0"/>
        <v>1300</v>
      </c>
    </row>
    <row r="12" spans="1:4" x14ac:dyDescent="0.25">
      <c r="A12" t="s">
        <v>50</v>
      </c>
      <c r="B12" s="1">
        <v>1000</v>
      </c>
      <c r="C12" t="s">
        <v>55</v>
      </c>
      <c r="D12" s="10">
        <f t="shared" si="0"/>
        <v>1000</v>
      </c>
    </row>
    <row r="13" spans="1:4" x14ac:dyDescent="0.25">
      <c r="A13" t="s">
        <v>50</v>
      </c>
      <c r="B13" s="1">
        <v>1000</v>
      </c>
      <c r="C13" t="s">
        <v>54</v>
      </c>
      <c r="D13" s="10">
        <f t="shared" si="0"/>
        <v>1300</v>
      </c>
    </row>
    <row r="14" spans="1:4" x14ac:dyDescent="0.25">
      <c r="A14" t="s">
        <v>52</v>
      </c>
      <c r="B14" s="1">
        <v>1000</v>
      </c>
      <c r="C14" t="s">
        <v>55</v>
      </c>
      <c r="D14" s="10">
        <f t="shared" si="0"/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Hotel Turistico</vt:lpstr>
      <vt:lpstr>Liquidación de Sueldos</vt:lpstr>
      <vt:lpstr>Fast Burguer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2022-05-23T13:04:53Z</dcterms:created>
  <dcterms:modified xsi:type="dcterms:W3CDTF">2022-05-23T13:25:55Z</dcterms:modified>
</cp:coreProperties>
</file>